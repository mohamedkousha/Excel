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7d30501df7be4da/Lavoro/Progetti/Github/"/>
    </mc:Choice>
  </mc:AlternateContent>
  <xr:revisionPtr revIDLastSave="44" documentId="13_ncr:1_{69379A69-8213-44D2-BC2C-0B4097EAA467}" xr6:coauthVersionLast="47" xr6:coauthVersionMax="47" xr10:uidLastSave="{7AF2F4CC-32D1-43FB-A0EC-3F6C621A73D6}"/>
  <bookViews>
    <workbookView xWindow="-120" yWindow="-120" windowWidth="29040" windowHeight="15720" xr2:uid="{00000000-000D-0000-FFFF-FFFF00000000}"/>
  </bookViews>
  <sheets>
    <sheet name="Foglio2" sheetId="2" r:id="rId1"/>
    <sheet name="Foglio1" sheetId="1" r:id="rId2"/>
  </sheet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1" l="1"/>
  <c r="E37" i="1"/>
  <c r="E29" i="1"/>
  <c r="E21" i="1"/>
  <c r="E15" i="1"/>
  <c r="E43" i="1" s="1"/>
</calcChain>
</file>

<file path=xl/sharedStrings.xml><?xml version="1.0" encoding="utf-8"?>
<sst xmlns="http://schemas.openxmlformats.org/spreadsheetml/2006/main" count="111" uniqueCount="46">
  <si>
    <t>Data</t>
  </si>
  <si>
    <t>Venditore</t>
  </si>
  <si>
    <t>Provincia</t>
  </si>
  <si>
    <t>Settore</t>
  </si>
  <si>
    <t xml:space="preserve">Fatturato </t>
  </si>
  <si>
    <t>Neri</t>
  </si>
  <si>
    <t>Piacenza</t>
  </si>
  <si>
    <t>Libri</t>
  </si>
  <si>
    <t>Bianchi</t>
  </si>
  <si>
    <t>Pistoia</t>
  </si>
  <si>
    <t>Verbano-Cusio-Ossola</t>
  </si>
  <si>
    <t>Informatica</t>
  </si>
  <si>
    <t>Azzurri</t>
  </si>
  <si>
    <t>Ravenna</t>
  </si>
  <si>
    <t>Art. Regalo</t>
  </si>
  <si>
    <t>Pisa</t>
  </si>
  <si>
    <t>Vercelli</t>
  </si>
  <si>
    <t>Cancelleria</t>
  </si>
  <si>
    <t>Sassari</t>
  </si>
  <si>
    <t>Trieste</t>
  </si>
  <si>
    <t>Rossi</t>
  </si>
  <si>
    <t>Rimini</t>
  </si>
  <si>
    <t>Siena</t>
  </si>
  <si>
    <t>Verdi</t>
  </si>
  <si>
    <t>Potenza</t>
  </si>
  <si>
    <t>Giocattoli</t>
  </si>
  <si>
    <t>Reggio nell'Emilia</t>
  </si>
  <si>
    <t>Treviso</t>
  </si>
  <si>
    <t>Pavia</t>
  </si>
  <si>
    <t>Savona</t>
  </si>
  <si>
    <t>Gialli</t>
  </si>
  <si>
    <t>Venezia</t>
  </si>
  <si>
    <t>Verona</t>
  </si>
  <si>
    <t>Rovigo</t>
  </si>
  <si>
    <t>Trapani</t>
  </si>
  <si>
    <t>Sondrio</t>
  </si>
  <si>
    <t>Vicenza</t>
  </si>
  <si>
    <t>Art. Regalo Totale</t>
  </si>
  <si>
    <t>Cancelleria Totale</t>
  </si>
  <si>
    <t>Giocattoli Totale</t>
  </si>
  <si>
    <t>Informatica Totale</t>
  </si>
  <si>
    <t>Libri Totale</t>
  </si>
  <si>
    <t>Totale complessivo</t>
  </si>
  <si>
    <t xml:space="preserve">Somma di Fatturato </t>
  </si>
  <si>
    <t>Etichette di riga</t>
  </si>
  <si>
    <t>Etichette di colonna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</si>
</sst>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;[Red]\-&quot;€&quot;\ #,##0.00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right" vertical="center" wrapText="1"/>
    </xf>
    <xf numFmtId="14" fontId="2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164" fontId="2" fillId="0" borderId="3" xfId="0" applyNumberFormat="1" applyFont="1" applyBorder="1" applyAlignment="1">
      <alignment horizontal="right" vertical="center"/>
    </xf>
    <xf numFmtId="0" fontId="0" fillId="0" borderId="0" xfId="0" applyAlignment="1">
      <alignment vertical="center"/>
    </xf>
    <xf numFmtId="0" fontId="4" fillId="0" borderId="6" xfId="0" applyFont="1" applyBorder="1" applyAlignment="1">
      <alignment vertical="center"/>
    </xf>
    <xf numFmtId="1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3" borderId="3" xfId="0" applyNumberFormat="1" applyFont="1" applyFill="1" applyBorder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164" fontId="2" fillId="4" borderId="0" xfId="0" applyNumberFormat="1" applyFont="1" applyFill="1" applyAlignment="1">
      <alignment horizontal="right" vertical="center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voro" refreshedDate="46189.610514004627" createdVersion="8" refreshedVersion="8" minRefreshableVersion="3" recordCount="28" xr:uid="{FDCF9483-91DC-41AF-9822-DE616EDB55AF}">
  <cacheSource type="worksheet">
    <worksheetSource ref="A9:E41" sheet="Foglio1"/>
  </cacheSource>
  <cacheFields count="5">
    <cacheField name="Data" numFmtId="14">
      <sharedItems containsSemiMixedTypes="0" containsNonDate="0" containsDate="1" containsString="0" minDate="2014-01-02T00:00:00" maxDate="2014-06-27T00:00:00"/>
    </cacheField>
    <cacheField name="Venditore" numFmtId="0">
      <sharedItems count="6">
        <s v="Azzurri"/>
        <s v="Bianchi"/>
        <s v="Verdi"/>
        <s v="Gialli"/>
        <s v="Neri"/>
        <s v="Rossi"/>
      </sharedItems>
    </cacheField>
    <cacheField name="Provincia" numFmtId="0">
      <sharedItems/>
    </cacheField>
    <cacheField name="Settore" numFmtId="0">
      <sharedItems count="5">
        <s v="Art. Regalo"/>
        <s v="Cancelleria"/>
        <s v="Giocattoli"/>
        <s v="Informatica"/>
        <s v="Libri"/>
      </sharedItems>
    </cacheField>
    <cacheField name="Fatturato " numFmtId="164">
      <sharedItems containsSemiMixedTypes="0" containsString="0" containsNumber="1" containsInteger="1" minValue="4" maxValue="88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14-06-20T00:00:00"/>
    <x v="0"/>
    <s v="Ravenna"/>
    <x v="0"/>
    <n v="972"/>
  </r>
  <r>
    <d v="2014-04-09T00:00:00"/>
    <x v="1"/>
    <s v="Sassari"/>
    <x v="0"/>
    <n v="4"/>
  </r>
  <r>
    <d v="2014-02-05T00:00:00"/>
    <x v="2"/>
    <s v="Treviso"/>
    <x v="0"/>
    <n v="1782"/>
  </r>
  <r>
    <d v="2014-04-05T00:00:00"/>
    <x v="3"/>
    <s v="Rimini"/>
    <x v="0"/>
    <n v="1514"/>
  </r>
  <r>
    <d v="2014-06-11T00:00:00"/>
    <x v="4"/>
    <s v="Vicenza"/>
    <x v="0"/>
    <n v="1114"/>
  </r>
  <r>
    <d v="2014-03-03T00:00:00"/>
    <x v="1"/>
    <s v="Vercelli"/>
    <x v="1"/>
    <n v="31"/>
  </r>
  <r>
    <d v="2014-05-15T00:00:00"/>
    <x v="5"/>
    <s v="Rimini"/>
    <x v="1"/>
    <n v="20"/>
  </r>
  <r>
    <d v="2014-01-03T00:00:00"/>
    <x v="2"/>
    <s v="Vercelli"/>
    <x v="1"/>
    <n v="344"/>
  </r>
  <r>
    <d v="2014-01-30T00:00:00"/>
    <x v="4"/>
    <s v="Rimini"/>
    <x v="1"/>
    <n v="1039"/>
  </r>
  <r>
    <d v="2014-03-30T00:00:00"/>
    <x v="0"/>
    <s v="Pistoia"/>
    <x v="1"/>
    <n v="643"/>
  </r>
  <r>
    <d v="2014-01-02T00:00:00"/>
    <x v="2"/>
    <s v="Potenza"/>
    <x v="2"/>
    <n v="856"/>
  </r>
  <r>
    <d v="2014-03-14T00:00:00"/>
    <x v="1"/>
    <s v="Reggio nell'Emilia"/>
    <x v="2"/>
    <n v="833"/>
  </r>
  <r>
    <d v="2014-05-21T00:00:00"/>
    <x v="1"/>
    <s v="Pavia"/>
    <x v="2"/>
    <n v="1428"/>
  </r>
  <r>
    <d v="2014-04-11T00:00:00"/>
    <x v="5"/>
    <s v="Venezia"/>
    <x v="2"/>
    <n v="459"/>
  </r>
  <r>
    <d v="2014-06-26T00:00:00"/>
    <x v="4"/>
    <s v="Verona"/>
    <x v="2"/>
    <n v="10"/>
  </r>
  <r>
    <d v="2014-02-24T00:00:00"/>
    <x v="0"/>
    <s v="Trapani"/>
    <x v="2"/>
    <n v="1072"/>
  </r>
  <r>
    <d v="2014-04-11T00:00:00"/>
    <x v="5"/>
    <s v="Sondrio"/>
    <x v="2"/>
    <n v="1793"/>
  </r>
  <r>
    <d v="2014-02-24T00:00:00"/>
    <x v="1"/>
    <s v="Verbano-Cusio-Ossola"/>
    <x v="3"/>
    <n v="1342"/>
  </r>
  <r>
    <d v="2014-01-24T00:00:00"/>
    <x v="1"/>
    <s v="Pisa"/>
    <x v="3"/>
    <n v="348"/>
  </r>
  <r>
    <d v="2014-04-13T00:00:00"/>
    <x v="0"/>
    <s v="Sassari"/>
    <x v="3"/>
    <n v="760"/>
  </r>
  <r>
    <d v="2014-04-25T00:00:00"/>
    <x v="0"/>
    <s v="Pistoia"/>
    <x v="3"/>
    <n v="8888"/>
  </r>
  <r>
    <d v="2014-05-25T00:00:00"/>
    <x v="0"/>
    <s v="Sassari"/>
    <x v="3"/>
    <n v="19"/>
  </r>
  <r>
    <d v="2014-03-22T00:00:00"/>
    <x v="1"/>
    <s v="Savona"/>
    <x v="3"/>
    <n v="1677"/>
  </r>
  <r>
    <d v="2014-05-22T00:00:00"/>
    <x v="5"/>
    <s v="Rovigo"/>
    <x v="3"/>
    <n v="1582"/>
  </r>
  <r>
    <d v="2014-03-21T00:00:00"/>
    <x v="4"/>
    <s v="Piacenza"/>
    <x v="4"/>
    <n v="360"/>
  </r>
  <r>
    <d v="2014-03-16T00:00:00"/>
    <x v="1"/>
    <s v="Pistoia"/>
    <x v="4"/>
    <n v="1496"/>
  </r>
  <r>
    <d v="2014-03-24T00:00:00"/>
    <x v="0"/>
    <s v="Trieste"/>
    <x v="4"/>
    <n v="357"/>
  </r>
  <r>
    <d v="2014-05-18T00:00:00"/>
    <x v="0"/>
    <s v="Siena"/>
    <x v="4"/>
    <n v="6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173DA1-1754-4CAC-A8A0-48DE0109FE8B}" name="Tabella pivot1" cacheId="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G11" firstHeaderRow="1" firstDataRow="2" firstDataCol="1"/>
  <pivotFields count="5">
    <pivotField numFmtId="14" showAll="0"/>
    <pivotField axis="axisRow" showAll="0">
      <items count="7">
        <item x="0"/>
        <item x="1"/>
        <item x="3"/>
        <item x="4"/>
        <item x="5"/>
        <item x="2"/>
        <item t="default"/>
      </items>
    </pivotField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dataField="1" numFmtId="164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ma di Fatturato 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6F03-9054-46A0-8ECD-92415B7E6E10}">
  <dimension ref="A3:G11"/>
  <sheetViews>
    <sheetView tabSelected="1" workbookViewId="0">
      <selection activeCell="G6" sqref="G6"/>
    </sheetView>
  </sheetViews>
  <sheetFormatPr defaultRowHeight="15" x14ac:dyDescent="0.25"/>
  <cols>
    <col min="1" max="1" width="19" bestFit="1" customWidth="1"/>
    <col min="2" max="2" width="21.140625" bestFit="1" customWidth="1"/>
    <col min="3" max="3" width="10.85546875" bestFit="1" customWidth="1"/>
    <col min="4" max="4" width="9.7109375" bestFit="1" customWidth="1"/>
    <col min="5" max="5" width="11.140625" bestFit="1" customWidth="1"/>
    <col min="6" max="6" width="9.5703125" bestFit="1" customWidth="1"/>
    <col min="7" max="7" width="18.28515625" bestFit="1" customWidth="1"/>
  </cols>
  <sheetData>
    <row r="3" spans="1:7" x14ac:dyDescent="0.25">
      <c r="A3" s="19" t="s">
        <v>43</v>
      </c>
      <c r="B3" s="19" t="s">
        <v>45</v>
      </c>
    </row>
    <row r="4" spans="1:7" x14ac:dyDescent="0.25">
      <c r="A4" s="19" t="s">
        <v>44</v>
      </c>
      <c r="B4" t="s">
        <v>14</v>
      </c>
      <c r="C4" t="s">
        <v>17</v>
      </c>
      <c r="D4" t="s">
        <v>25</v>
      </c>
      <c r="E4" t="s">
        <v>11</v>
      </c>
      <c r="F4" t="s">
        <v>7</v>
      </c>
      <c r="G4" t="s">
        <v>42</v>
      </c>
    </row>
    <row r="5" spans="1:7" x14ac:dyDescent="0.25">
      <c r="A5" s="20" t="s">
        <v>12</v>
      </c>
      <c r="B5" s="18">
        <v>972</v>
      </c>
      <c r="C5" s="18">
        <v>643</v>
      </c>
      <c r="D5" s="18">
        <v>1072</v>
      </c>
      <c r="E5" s="18">
        <v>9667</v>
      </c>
      <c r="F5" s="18">
        <v>961</v>
      </c>
      <c r="G5" s="18">
        <v>13315</v>
      </c>
    </row>
    <row r="6" spans="1:7" x14ac:dyDescent="0.25">
      <c r="A6" s="20" t="s">
        <v>8</v>
      </c>
      <c r="B6" s="18">
        <v>4</v>
      </c>
      <c r="C6" s="18">
        <v>31</v>
      </c>
      <c r="D6" s="18">
        <v>2261</v>
      </c>
      <c r="E6" s="18">
        <v>3367</v>
      </c>
      <c r="F6" s="18">
        <v>1496</v>
      </c>
      <c r="G6" s="18">
        <v>7159</v>
      </c>
    </row>
    <row r="7" spans="1:7" x14ac:dyDescent="0.25">
      <c r="A7" s="20" t="s">
        <v>30</v>
      </c>
      <c r="B7" s="18">
        <v>1514</v>
      </c>
      <c r="C7" s="18"/>
      <c r="D7" s="18"/>
      <c r="E7" s="18"/>
      <c r="F7" s="18"/>
      <c r="G7" s="18">
        <v>1514</v>
      </c>
    </row>
    <row r="8" spans="1:7" x14ac:dyDescent="0.25">
      <c r="A8" s="20" t="s">
        <v>5</v>
      </c>
      <c r="B8" s="18">
        <v>1114</v>
      </c>
      <c r="C8" s="18">
        <v>1039</v>
      </c>
      <c r="D8" s="18">
        <v>10</v>
      </c>
      <c r="E8" s="18"/>
      <c r="F8" s="18">
        <v>360</v>
      </c>
      <c r="G8" s="18">
        <v>2523</v>
      </c>
    </row>
    <row r="9" spans="1:7" x14ac:dyDescent="0.25">
      <c r="A9" s="20" t="s">
        <v>20</v>
      </c>
      <c r="B9" s="18"/>
      <c r="C9" s="18">
        <v>20</v>
      </c>
      <c r="D9" s="18">
        <v>2252</v>
      </c>
      <c r="E9" s="18">
        <v>1582</v>
      </c>
      <c r="F9" s="18"/>
      <c r="G9" s="18">
        <v>3854</v>
      </c>
    </row>
    <row r="10" spans="1:7" x14ac:dyDescent="0.25">
      <c r="A10" s="20" t="s">
        <v>23</v>
      </c>
      <c r="B10" s="18">
        <v>1782</v>
      </c>
      <c r="C10" s="18">
        <v>344</v>
      </c>
      <c r="D10" s="18">
        <v>856</v>
      </c>
      <c r="E10" s="18"/>
      <c r="F10" s="18"/>
      <c r="G10" s="18">
        <v>2982</v>
      </c>
    </row>
    <row r="11" spans="1:7" x14ac:dyDescent="0.25">
      <c r="A11" s="20" t="s">
        <v>42</v>
      </c>
      <c r="B11" s="18">
        <v>5386</v>
      </c>
      <c r="C11" s="18">
        <v>2077</v>
      </c>
      <c r="D11" s="18">
        <v>6451</v>
      </c>
      <c r="E11" s="18">
        <v>14616</v>
      </c>
      <c r="F11" s="18">
        <v>2817</v>
      </c>
      <c r="G11" s="18">
        <v>31347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44"/>
  <sheetViews>
    <sheetView zoomScale="85" zoomScaleNormal="85" workbookViewId="0">
      <selection activeCell="F16" sqref="F16"/>
    </sheetView>
  </sheetViews>
  <sheetFormatPr defaultRowHeight="15" outlineLevelRow="2" x14ac:dyDescent="0.25"/>
  <cols>
    <col min="1" max="3" width="14.140625" customWidth="1"/>
    <col min="4" max="4" width="22.85546875" customWidth="1"/>
    <col min="5" max="5" width="14.140625" customWidth="1"/>
  </cols>
  <sheetData>
    <row r="2" spans="1:11" ht="15" customHeight="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15" customHeight="1" x14ac:dyDescent="0.2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 ht="15" customHeight="1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</row>
    <row r="5" spans="1:11" ht="15" customHeight="1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</row>
    <row r="6" spans="1:11" ht="15" customHeight="1" x14ac:dyDescent="0.25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</row>
    <row r="7" spans="1:11" ht="15" customHeight="1" x14ac:dyDescent="0.25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</row>
    <row r="8" spans="1:11" ht="15.75" thickBot="1" x14ac:dyDescent="0.3"/>
    <row r="9" spans="1:11" ht="15.75" thickBot="1" x14ac:dyDescent="0.3">
      <c r="A9" s="1" t="s">
        <v>0</v>
      </c>
      <c r="B9" s="2" t="s">
        <v>1</v>
      </c>
      <c r="C9" s="2" t="s">
        <v>2</v>
      </c>
      <c r="D9" s="2" t="s">
        <v>3</v>
      </c>
      <c r="E9" s="3" t="s">
        <v>4</v>
      </c>
    </row>
    <row r="10" spans="1:11" ht="15.75" outlineLevel="2" thickBot="1" x14ac:dyDescent="0.3">
      <c r="A10" s="4">
        <v>41810</v>
      </c>
      <c r="B10" s="5" t="s">
        <v>12</v>
      </c>
      <c r="C10" s="6" t="s">
        <v>13</v>
      </c>
      <c r="D10" s="7" t="s">
        <v>14</v>
      </c>
      <c r="E10" s="8">
        <v>972</v>
      </c>
    </row>
    <row r="11" spans="1:11" ht="15.75" outlineLevel="2" thickBot="1" x14ac:dyDescent="0.3">
      <c r="A11" s="4">
        <v>41738</v>
      </c>
      <c r="B11" s="5" t="s">
        <v>8</v>
      </c>
      <c r="C11" s="6" t="s">
        <v>18</v>
      </c>
      <c r="D11" s="7" t="s">
        <v>14</v>
      </c>
      <c r="E11" s="8">
        <v>4</v>
      </c>
    </row>
    <row r="12" spans="1:11" ht="15.75" outlineLevel="2" thickBot="1" x14ac:dyDescent="0.3">
      <c r="A12" s="4">
        <v>41675</v>
      </c>
      <c r="B12" s="5" t="s">
        <v>23</v>
      </c>
      <c r="C12" s="6" t="s">
        <v>27</v>
      </c>
      <c r="D12" s="7" t="s">
        <v>14</v>
      </c>
      <c r="E12" s="8">
        <v>1782</v>
      </c>
    </row>
    <row r="13" spans="1:11" ht="15.75" outlineLevel="2" thickBot="1" x14ac:dyDescent="0.3">
      <c r="A13" s="4">
        <v>41734</v>
      </c>
      <c r="B13" s="5" t="s">
        <v>30</v>
      </c>
      <c r="C13" s="6" t="s">
        <v>21</v>
      </c>
      <c r="D13" s="7" t="s">
        <v>14</v>
      </c>
      <c r="E13" s="8">
        <v>1514</v>
      </c>
    </row>
    <row r="14" spans="1:11" ht="15.75" outlineLevel="2" thickBot="1" x14ac:dyDescent="0.3">
      <c r="A14" s="4">
        <v>41801</v>
      </c>
      <c r="B14" s="5" t="s">
        <v>5</v>
      </c>
      <c r="C14" s="6" t="s">
        <v>36</v>
      </c>
      <c r="D14" s="7" t="s">
        <v>14</v>
      </c>
      <c r="E14" s="8">
        <v>1114</v>
      </c>
    </row>
    <row r="15" spans="1:11" ht="15.75" outlineLevel="1" thickBot="1" x14ac:dyDescent="0.3">
      <c r="A15" s="4"/>
      <c r="B15" s="5"/>
      <c r="C15" s="6"/>
      <c r="D15" s="10" t="s">
        <v>37</v>
      </c>
      <c r="E15" s="15">
        <f>SUBTOTAL(9,E10:E14)</f>
        <v>5386</v>
      </c>
    </row>
    <row r="16" spans="1:11" ht="15.75" outlineLevel="2" thickBot="1" x14ac:dyDescent="0.3">
      <c r="A16" s="4">
        <v>41701</v>
      </c>
      <c r="B16" s="5" t="s">
        <v>8</v>
      </c>
      <c r="C16" s="6" t="s">
        <v>16</v>
      </c>
      <c r="D16" s="7" t="s">
        <v>17</v>
      </c>
      <c r="E16" s="8">
        <v>31</v>
      </c>
    </row>
    <row r="17" spans="1:5" ht="15.75" outlineLevel="2" thickBot="1" x14ac:dyDescent="0.3">
      <c r="A17" s="4">
        <v>41774</v>
      </c>
      <c r="B17" s="5" t="s">
        <v>20</v>
      </c>
      <c r="C17" s="6" t="s">
        <v>21</v>
      </c>
      <c r="D17" s="7" t="s">
        <v>17</v>
      </c>
      <c r="E17" s="8">
        <v>20</v>
      </c>
    </row>
    <row r="18" spans="1:5" ht="15.75" outlineLevel="2" thickBot="1" x14ac:dyDescent="0.3">
      <c r="A18" s="4">
        <v>41642</v>
      </c>
      <c r="B18" s="5" t="s">
        <v>23</v>
      </c>
      <c r="C18" s="6" t="s">
        <v>16</v>
      </c>
      <c r="D18" s="7" t="s">
        <v>17</v>
      </c>
      <c r="E18" s="8">
        <v>344</v>
      </c>
    </row>
    <row r="19" spans="1:5" ht="15.75" outlineLevel="2" thickBot="1" x14ac:dyDescent="0.3">
      <c r="A19" s="4">
        <v>41669</v>
      </c>
      <c r="B19" s="5" t="s">
        <v>5</v>
      </c>
      <c r="C19" s="6" t="s">
        <v>21</v>
      </c>
      <c r="D19" s="7" t="s">
        <v>17</v>
      </c>
      <c r="E19" s="8">
        <v>1039</v>
      </c>
    </row>
    <row r="20" spans="1:5" ht="15.75" outlineLevel="2" thickBot="1" x14ac:dyDescent="0.3">
      <c r="A20" s="4">
        <v>41728</v>
      </c>
      <c r="B20" s="5" t="s">
        <v>12</v>
      </c>
      <c r="C20" s="6" t="s">
        <v>9</v>
      </c>
      <c r="D20" s="7" t="s">
        <v>17</v>
      </c>
      <c r="E20" s="8">
        <v>643</v>
      </c>
    </row>
    <row r="21" spans="1:5" ht="15.75" outlineLevel="1" thickBot="1" x14ac:dyDescent="0.3">
      <c r="A21" s="4"/>
      <c r="B21" s="5"/>
      <c r="C21" s="6"/>
      <c r="D21" s="10" t="s">
        <v>38</v>
      </c>
      <c r="E21" s="15">
        <f>SUBTOTAL(9,E16:E20)</f>
        <v>2077</v>
      </c>
    </row>
    <row r="22" spans="1:5" ht="15.75" outlineLevel="2" thickBot="1" x14ac:dyDescent="0.3">
      <c r="A22" s="4">
        <v>41641</v>
      </c>
      <c r="B22" s="5" t="s">
        <v>23</v>
      </c>
      <c r="C22" s="6" t="s">
        <v>24</v>
      </c>
      <c r="D22" s="7" t="s">
        <v>25</v>
      </c>
      <c r="E22" s="8">
        <v>856</v>
      </c>
    </row>
    <row r="23" spans="1:5" ht="15.75" outlineLevel="2" thickBot="1" x14ac:dyDescent="0.3">
      <c r="A23" s="4">
        <v>41712</v>
      </c>
      <c r="B23" s="5" t="s">
        <v>8</v>
      </c>
      <c r="C23" s="6" t="s">
        <v>26</v>
      </c>
      <c r="D23" s="7" t="s">
        <v>25</v>
      </c>
      <c r="E23" s="8">
        <v>833</v>
      </c>
    </row>
    <row r="24" spans="1:5" ht="15.75" outlineLevel="2" thickBot="1" x14ac:dyDescent="0.3">
      <c r="A24" s="4">
        <v>41780</v>
      </c>
      <c r="B24" s="5" t="s">
        <v>8</v>
      </c>
      <c r="C24" s="6" t="s">
        <v>28</v>
      </c>
      <c r="D24" s="7" t="s">
        <v>25</v>
      </c>
      <c r="E24" s="8">
        <v>1428</v>
      </c>
    </row>
    <row r="25" spans="1:5" ht="15.75" outlineLevel="2" thickBot="1" x14ac:dyDescent="0.3">
      <c r="A25" s="4">
        <v>41740</v>
      </c>
      <c r="B25" s="5" t="s">
        <v>20</v>
      </c>
      <c r="C25" s="6" t="s">
        <v>31</v>
      </c>
      <c r="D25" s="7" t="s">
        <v>25</v>
      </c>
      <c r="E25" s="8">
        <v>459</v>
      </c>
    </row>
    <row r="26" spans="1:5" ht="15.75" outlineLevel="2" thickBot="1" x14ac:dyDescent="0.3">
      <c r="A26" s="4">
        <v>41816</v>
      </c>
      <c r="B26" s="5" t="s">
        <v>5</v>
      </c>
      <c r="C26" s="6" t="s">
        <v>32</v>
      </c>
      <c r="D26" s="7" t="s">
        <v>25</v>
      </c>
      <c r="E26" s="8">
        <v>10</v>
      </c>
    </row>
    <row r="27" spans="1:5" ht="15.75" outlineLevel="2" thickBot="1" x14ac:dyDescent="0.3">
      <c r="A27" s="4">
        <v>41694</v>
      </c>
      <c r="B27" s="5" t="s">
        <v>12</v>
      </c>
      <c r="C27" s="6" t="s">
        <v>34</v>
      </c>
      <c r="D27" s="7" t="s">
        <v>25</v>
      </c>
      <c r="E27" s="8">
        <v>1072</v>
      </c>
    </row>
    <row r="28" spans="1:5" ht="15.75" outlineLevel="2" thickBot="1" x14ac:dyDescent="0.3">
      <c r="A28" s="4">
        <v>41740</v>
      </c>
      <c r="B28" s="5" t="s">
        <v>20</v>
      </c>
      <c r="C28" s="6" t="s">
        <v>35</v>
      </c>
      <c r="D28" s="7" t="s">
        <v>25</v>
      </c>
      <c r="E28" s="8">
        <v>1793</v>
      </c>
    </row>
    <row r="29" spans="1:5" ht="15.75" outlineLevel="1" thickBot="1" x14ac:dyDescent="0.3">
      <c r="A29" s="4"/>
      <c r="B29" s="5"/>
      <c r="C29" s="6"/>
      <c r="D29" s="10" t="s">
        <v>39</v>
      </c>
      <c r="E29" s="15">
        <f>SUBTOTAL(9,E22:E28)</f>
        <v>6451</v>
      </c>
    </row>
    <row r="30" spans="1:5" ht="15.75" outlineLevel="2" thickBot="1" x14ac:dyDescent="0.3">
      <c r="A30" s="4">
        <v>41694</v>
      </c>
      <c r="B30" s="5" t="s">
        <v>8</v>
      </c>
      <c r="C30" s="6" t="s">
        <v>10</v>
      </c>
      <c r="D30" s="7" t="s">
        <v>11</v>
      </c>
      <c r="E30" s="8">
        <v>1342</v>
      </c>
    </row>
    <row r="31" spans="1:5" ht="15.75" outlineLevel="2" thickBot="1" x14ac:dyDescent="0.3">
      <c r="A31" s="4">
        <v>41663</v>
      </c>
      <c r="B31" s="5" t="s">
        <v>8</v>
      </c>
      <c r="C31" s="6" t="s">
        <v>15</v>
      </c>
      <c r="D31" s="7" t="s">
        <v>11</v>
      </c>
      <c r="E31" s="8">
        <v>348</v>
      </c>
    </row>
    <row r="32" spans="1:5" ht="15.75" outlineLevel="2" thickBot="1" x14ac:dyDescent="0.3">
      <c r="A32" s="4">
        <v>41742</v>
      </c>
      <c r="B32" s="5" t="s">
        <v>12</v>
      </c>
      <c r="C32" s="6" t="s">
        <v>18</v>
      </c>
      <c r="D32" s="7" t="s">
        <v>11</v>
      </c>
      <c r="E32" s="8">
        <v>760</v>
      </c>
    </row>
    <row r="33" spans="1:5" ht="15.75" outlineLevel="2" thickBot="1" x14ac:dyDescent="0.3">
      <c r="A33" s="4">
        <v>41754</v>
      </c>
      <c r="B33" s="5" t="s">
        <v>12</v>
      </c>
      <c r="C33" s="6" t="s">
        <v>9</v>
      </c>
      <c r="D33" s="7" t="s">
        <v>11</v>
      </c>
      <c r="E33" s="8">
        <v>8888</v>
      </c>
    </row>
    <row r="34" spans="1:5" ht="15.75" outlineLevel="2" thickBot="1" x14ac:dyDescent="0.3">
      <c r="A34" s="4">
        <v>41784</v>
      </c>
      <c r="B34" s="5" t="s">
        <v>12</v>
      </c>
      <c r="C34" s="6" t="s">
        <v>18</v>
      </c>
      <c r="D34" s="7" t="s">
        <v>11</v>
      </c>
      <c r="E34" s="8">
        <v>19</v>
      </c>
    </row>
    <row r="35" spans="1:5" ht="15.75" outlineLevel="2" thickBot="1" x14ac:dyDescent="0.3">
      <c r="A35" s="4">
        <v>41720</v>
      </c>
      <c r="B35" s="5" t="s">
        <v>8</v>
      </c>
      <c r="C35" s="6" t="s">
        <v>29</v>
      </c>
      <c r="D35" s="7" t="s">
        <v>11</v>
      </c>
      <c r="E35" s="8">
        <v>1677</v>
      </c>
    </row>
    <row r="36" spans="1:5" ht="15.75" outlineLevel="2" thickBot="1" x14ac:dyDescent="0.3">
      <c r="A36" s="4">
        <v>41781</v>
      </c>
      <c r="B36" s="5" t="s">
        <v>20</v>
      </c>
      <c r="C36" s="6" t="s">
        <v>33</v>
      </c>
      <c r="D36" s="7" t="s">
        <v>11</v>
      </c>
      <c r="E36" s="8">
        <v>1582</v>
      </c>
    </row>
    <row r="37" spans="1:5" ht="15.75" outlineLevel="1" thickBot="1" x14ac:dyDescent="0.3">
      <c r="A37" s="4"/>
      <c r="B37" s="5"/>
      <c r="C37" s="6"/>
      <c r="D37" s="10" t="s">
        <v>40</v>
      </c>
      <c r="E37" s="15">
        <f>SUBTOTAL(9,E30:E36)</f>
        <v>14616</v>
      </c>
    </row>
    <row r="38" spans="1:5" ht="15.75" outlineLevel="2" thickBot="1" x14ac:dyDescent="0.3">
      <c r="A38" s="4">
        <v>41719</v>
      </c>
      <c r="B38" s="5" t="s">
        <v>5</v>
      </c>
      <c r="C38" s="6" t="s">
        <v>6</v>
      </c>
      <c r="D38" s="7" t="s">
        <v>7</v>
      </c>
      <c r="E38" s="8">
        <v>360</v>
      </c>
    </row>
    <row r="39" spans="1:5" ht="15.75" outlineLevel="2" thickBot="1" x14ac:dyDescent="0.3">
      <c r="A39" s="4">
        <v>41714</v>
      </c>
      <c r="B39" s="5" t="s">
        <v>8</v>
      </c>
      <c r="C39" s="6" t="s">
        <v>9</v>
      </c>
      <c r="D39" s="7" t="s">
        <v>7</v>
      </c>
      <c r="E39" s="8">
        <v>1496</v>
      </c>
    </row>
    <row r="40" spans="1:5" ht="15.75" outlineLevel="2" thickBot="1" x14ac:dyDescent="0.3">
      <c r="A40" s="4">
        <v>41722</v>
      </c>
      <c r="B40" s="5" t="s">
        <v>12</v>
      </c>
      <c r="C40" s="6" t="s">
        <v>19</v>
      </c>
      <c r="D40" s="7" t="s">
        <v>7</v>
      </c>
      <c r="E40" s="8">
        <v>357</v>
      </c>
    </row>
    <row r="41" spans="1:5" ht="15.75" outlineLevel="2" thickBot="1" x14ac:dyDescent="0.3">
      <c r="A41" s="4">
        <v>41777</v>
      </c>
      <c r="B41" s="5" t="s">
        <v>12</v>
      </c>
      <c r="C41" s="6" t="s">
        <v>22</v>
      </c>
      <c r="D41" s="7" t="s">
        <v>7</v>
      </c>
      <c r="E41" s="8">
        <v>604</v>
      </c>
    </row>
    <row r="42" spans="1:5" outlineLevel="1" x14ac:dyDescent="0.25">
      <c r="A42" s="11"/>
      <c r="B42" s="12"/>
      <c r="C42" s="13"/>
      <c r="D42" s="14" t="s">
        <v>41</v>
      </c>
      <c r="E42" s="16">
        <f>SUBTOTAL(9,E38:E41)</f>
        <v>2817</v>
      </c>
    </row>
    <row r="43" spans="1:5" x14ac:dyDescent="0.25">
      <c r="A43" s="11"/>
      <c r="B43" s="12"/>
      <c r="C43" s="13"/>
      <c r="D43" s="14" t="s">
        <v>42</v>
      </c>
      <c r="E43" s="17">
        <f>SUBTOTAL(9,E10:E41)</f>
        <v>31347</v>
      </c>
    </row>
    <row r="44" spans="1:5" x14ac:dyDescent="0.25">
      <c r="A44" s="9"/>
    </row>
  </sheetData>
  <sortState xmlns:xlrd2="http://schemas.microsoft.com/office/spreadsheetml/2017/richdata2" ref="A10:E41">
    <sortCondition ref="D10:D41"/>
  </sortState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Foglio2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cp:lastModifiedBy>Mohamed Kousha</cp:lastModifiedBy>
  <dcterms:created xsi:type="dcterms:W3CDTF">2020-10-25T14:07:50Z</dcterms:created>
  <dcterms:modified xsi:type="dcterms:W3CDTF">2026-06-18T06:25:41Z</dcterms:modified>
</cp:coreProperties>
</file>