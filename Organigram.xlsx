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avoro\Downloads\"/>
    </mc:Choice>
  </mc:AlternateContent>
  <xr:revisionPtr revIDLastSave="0" documentId="13_ncr:1_{4E8A47B1-E373-406D-9333-2C2C5CF4846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ati" sheetId="1" r:id="rId1"/>
    <sheet name="Dati sistemati" sheetId="2" r:id="rId2"/>
    <sheet name="Pivot e analisi" sheetId="3" r:id="rId3"/>
    <sheet name="Grafici" sheetId="6" r:id="rId4"/>
  </sheets>
  <calcPr calcId="191029"/>
  <pivotCaches>
    <pivotCache cacheId="7" r:id="rId5"/>
    <pivotCache cacheId="5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3" l="1"/>
  <c r="F28" i="3"/>
  <c r="F26" i="3"/>
  <c r="I43" i="3"/>
  <c r="L29" i="3"/>
  <c r="I29" i="3"/>
  <c r="L15" i="3"/>
  <c r="I15" i="3"/>
  <c r="C67" i="2" a="1"/>
  <c r="C67" i="2" s="1"/>
  <c r="C28" i="2" a="1"/>
  <c r="C28" i="2" s="1"/>
  <c r="C47" i="2" a="1"/>
  <c r="C47" i="2" s="1"/>
  <c r="C186" i="2" a="1"/>
  <c r="C186" i="2" s="1"/>
  <c r="C27" i="2" a="1"/>
  <c r="C27" i="2" s="1"/>
  <c r="C86" i="2" a="1"/>
  <c r="C86" i="2" s="1"/>
  <c r="C244" i="2" a="1"/>
  <c r="C244" i="2" s="1"/>
  <c r="C48" i="2" a="1"/>
  <c r="C48" i="2" s="1"/>
  <c r="C130" i="2" a="1"/>
  <c r="C130" i="2" s="1"/>
  <c r="C20" i="2" a="1"/>
  <c r="C20" i="2" s="1"/>
  <c r="C166" i="2" a="1"/>
  <c r="C166" i="2" s="1"/>
  <c r="C80" i="2" a="1"/>
  <c r="C80" i="2" s="1"/>
  <c r="C22" i="2" a="1"/>
  <c r="C22" i="2" s="1"/>
  <c r="C222" i="2" a="1"/>
  <c r="C222" i="2" s="1"/>
  <c r="C232" i="2" a="1"/>
  <c r="C232" i="2" s="1"/>
  <c r="C171" i="2" a="1"/>
  <c r="C171" i="2" s="1"/>
  <c r="C7" i="2" a="1"/>
  <c r="C7" i="2" s="1"/>
  <c r="C136" i="2" a="1"/>
  <c r="C136" i="2" s="1"/>
  <c r="C173" i="2" a="1"/>
  <c r="C173" i="2" s="1"/>
  <c r="C10" i="2" a="1"/>
  <c r="C10" i="2" s="1"/>
  <c r="C149" i="2" a="1"/>
  <c r="C149" i="2" s="1"/>
  <c r="C152" i="2" a="1"/>
  <c r="C152" i="2" s="1"/>
  <c r="C198" i="2" a="1"/>
  <c r="C198" i="2" s="1"/>
  <c r="C94" i="2" a="1"/>
  <c r="C94" i="2" s="1"/>
  <c r="C18" i="2" a="1"/>
  <c r="C18" i="2" s="1"/>
  <c r="C118" i="2" a="1"/>
  <c r="C118" i="2" s="1"/>
  <c r="C230" i="2" a="1"/>
  <c r="C230" i="2" s="1"/>
  <c r="C175" i="2" a="1"/>
  <c r="C175" i="2" s="1"/>
  <c r="C235" i="2" a="1"/>
  <c r="C235" i="2" s="1"/>
  <c r="C95" i="2" a="1"/>
  <c r="C95" i="2" s="1"/>
  <c r="C194" i="2" a="1"/>
  <c r="C194" i="2" s="1"/>
  <c r="C181" i="2" a="1"/>
  <c r="C181" i="2" s="1"/>
  <c r="C185" i="2" a="1"/>
  <c r="C185" i="2" s="1"/>
  <c r="C220" i="2" a="1"/>
  <c r="C220" i="2" s="1"/>
  <c r="C83" i="2" a="1"/>
  <c r="C83" i="2" s="1"/>
  <c r="C110" i="2" a="1"/>
  <c r="C110" i="2" s="1"/>
  <c r="C229" i="2" a="1"/>
  <c r="C229" i="2" s="1"/>
  <c r="C70" i="2" a="1"/>
  <c r="C70" i="2" s="1"/>
  <c r="C51" i="2" a="1"/>
  <c r="C51" i="2" s="1"/>
  <c r="C174" i="2" a="1"/>
  <c r="C174" i="2" s="1"/>
  <c r="C73" i="2" a="1"/>
  <c r="C73" i="2" s="1"/>
  <c r="C99" i="2" a="1"/>
  <c r="C99" i="2" s="1"/>
  <c r="C212" i="2" a="1"/>
  <c r="C212" i="2" s="1"/>
  <c r="C55" i="2" a="1"/>
  <c r="C55" i="2" s="1"/>
  <c r="C167" i="2" a="1"/>
  <c r="C167" i="2" s="1"/>
  <c r="C37" i="2" a="1"/>
  <c r="C37" i="2" s="1"/>
  <c r="C153" i="2" a="1"/>
  <c r="C153" i="2" s="1"/>
  <c r="C21" i="2" a="1"/>
  <c r="C21" i="2" s="1"/>
  <c r="C92" i="2" a="1"/>
  <c r="C92" i="2" s="1"/>
  <c r="C245" i="2" a="1"/>
  <c r="C245" i="2" s="1"/>
  <c r="C124" i="2" a="1"/>
  <c r="C124" i="2" s="1"/>
  <c r="C133" i="2" a="1"/>
  <c r="C133" i="2" s="1"/>
  <c r="C60" i="2" a="1"/>
  <c r="C60" i="2" s="1"/>
  <c r="C250" i="2" a="1"/>
  <c r="C250" i="2" s="1"/>
  <c r="C56" i="2" a="1"/>
  <c r="C56" i="2" s="1"/>
  <c r="C61" i="2" a="1"/>
  <c r="C61" i="2" s="1"/>
  <c r="C165" i="2" a="1"/>
  <c r="C165" i="2" s="1"/>
  <c r="C111" i="2" a="1"/>
  <c r="C111" i="2" s="1"/>
  <c r="C91" i="2" a="1"/>
  <c r="C91" i="2" s="1"/>
  <c r="C38" i="2" a="1"/>
  <c r="C38" i="2" s="1"/>
  <c r="C242" i="2" a="1"/>
  <c r="C242" i="2" s="1"/>
  <c r="C128" i="2" a="1"/>
  <c r="C128" i="2" s="1"/>
  <c r="C192" i="2" a="1"/>
  <c r="C192" i="2" s="1"/>
  <c r="C215" i="2" a="1"/>
  <c r="C215" i="2" s="1"/>
  <c r="C104" i="2" a="1"/>
  <c r="C104" i="2" s="1"/>
  <c r="C69" i="2" a="1"/>
  <c r="C69" i="2" s="1"/>
  <c r="C177" i="2" a="1"/>
  <c r="C177" i="2" s="1"/>
  <c r="C24" i="2" a="1"/>
  <c r="C24" i="2" s="1"/>
  <c r="C115" i="2" a="1"/>
  <c r="C115" i="2" s="1"/>
  <c r="C40" i="2" a="1"/>
  <c r="C40" i="2" s="1"/>
  <c r="C29" i="2" a="1"/>
  <c r="C29" i="2" s="1"/>
  <c r="C206" i="2" a="1"/>
  <c r="C206" i="2" s="1"/>
  <c r="C126" i="2" a="1"/>
  <c r="C126" i="2" s="1"/>
  <c r="C168" i="2" a="1"/>
  <c r="C168" i="2" s="1"/>
  <c r="C19" i="2" a="1"/>
  <c r="C19" i="2" s="1"/>
  <c r="C246" i="2" a="1"/>
  <c r="C246" i="2" s="1"/>
  <c r="C216" i="2" a="1"/>
  <c r="C216" i="2" s="1"/>
  <c r="C46" i="2" a="1"/>
  <c r="C46" i="2" s="1"/>
  <c r="C180" i="2" a="1"/>
  <c r="C180" i="2" s="1"/>
  <c r="C2" i="2" a="1"/>
  <c r="C2" i="2" s="1"/>
  <c r="C155" i="2" a="1"/>
  <c r="C155" i="2" s="1"/>
  <c r="C50" i="2" a="1"/>
  <c r="C50" i="2" s="1"/>
  <c r="C158" i="2" a="1"/>
  <c r="C158" i="2" s="1"/>
  <c r="C13" i="2" a="1"/>
  <c r="C13" i="2" s="1"/>
  <c r="C219" i="2" a="1"/>
  <c r="C219" i="2" s="1"/>
  <c r="C45" i="2" a="1"/>
  <c r="C45" i="2" s="1"/>
  <c r="C112" i="2" a="1"/>
  <c r="C112" i="2" s="1"/>
  <c r="C207" i="2" a="1"/>
  <c r="C207" i="2" s="1"/>
  <c r="C121" i="2" a="1"/>
  <c r="C121" i="2" s="1"/>
  <c r="C84" i="2" a="1"/>
  <c r="C84" i="2" s="1"/>
  <c r="C85" i="2" a="1"/>
  <c r="C85" i="2" s="1"/>
  <c r="C23" i="2" a="1"/>
  <c r="C23" i="2" s="1"/>
  <c r="C120" i="2" a="1"/>
  <c r="C120" i="2" s="1"/>
  <c r="C96" i="2" a="1"/>
  <c r="C96" i="2" s="1"/>
  <c r="C116" i="2" a="1"/>
  <c r="C116" i="2" s="1"/>
  <c r="C162" i="2" a="1"/>
  <c r="C162" i="2" s="1"/>
  <c r="C106" i="2" a="1"/>
  <c r="C106" i="2" s="1"/>
  <c r="C144" i="2" a="1"/>
  <c r="C144" i="2" s="1"/>
  <c r="C190" i="2" a="1"/>
  <c r="C190" i="2" s="1"/>
  <c r="C32" i="2" a="1"/>
  <c r="C32" i="2" s="1"/>
  <c r="C240" i="2" a="1"/>
  <c r="C240" i="2" s="1"/>
  <c r="C53" i="2" a="1"/>
  <c r="C53" i="2" s="1"/>
  <c r="C25" i="2" a="1"/>
  <c r="C25" i="2" s="1"/>
  <c r="C182" i="2" a="1"/>
  <c r="C182" i="2" s="1"/>
  <c r="C243" i="2" a="1"/>
  <c r="C243" i="2" s="1"/>
  <c r="C71" i="2" a="1"/>
  <c r="C71" i="2" s="1"/>
  <c r="C93" i="2" a="1"/>
  <c r="C93" i="2" s="1"/>
  <c r="C14" i="2" a="1"/>
  <c r="C14" i="2" s="1"/>
  <c r="C113" i="2" a="1"/>
  <c r="C113" i="2" s="1"/>
  <c r="C39" i="2" a="1"/>
  <c r="C39" i="2" s="1"/>
  <c r="C72" i="2" a="1"/>
  <c r="C72" i="2" s="1"/>
  <c r="C77" i="2" a="1"/>
  <c r="C77" i="2" s="1"/>
  <c r="C63" i="2" a="1"/>
  <c r="C63" i="2" s="1"/>
  <c r="C178" i="2" a="1"/>
  <c r="C178" i="2" s="1"/>
  <c r="C141" i="2" a="1"/>
  <c r="C141" i="2" s="1"/>
  <c r="C150" i="2" a="1"/>
  <c r="C150" i="2" s="1"/>
  <c r="C200" i="2" a="1"/>
  <c r="C200" i="2" s="1"/>
  <c r="C164" i="2" a="1"/>
  <c r="C164" i="2" s="1"/>
  <c r="C161" i="2" a="1"/>
  <c r="C161" i="2" s="1"/>
  <c r="C49" i="2" a="1"/>
  <c r="C49" i="2" s="1"/>
  <c r="C34" i="2" a="1"/>
  <c r="C34" i="2" s="1"/>
  <c r="C146" i="2" a="1"/>
  <c r="C146" i="2" s="1"/>
  <c r="C31" i="2" a="1"/>
  <c r="C31" i="2" s="1"/>
  <c r="C26" i="2" a="1"/>
  <c r="C26" i="2" s="1"/>
  <c r="C57" i="2" a="1"/>
  <c r="C57" i="2" s="1"/>
  <c r="C193" i="2" a="1"/>
  <c r="C193" i="2" s="1"/>
  <c r="C163" i="2" a="1"/>
  <c r="C163" i="2" s="1"/>
  <c r="C159" i="2" a="1"/>
  <c r="C159" i="2" s="1"/>
  <c r="C54" i="2" a="1"/>
  <c r="C54" i="2" s="1"/>
  <c r="C139" i="2" a="1"/>
  <c r="C139" i="2" s="1"/>
  <c r="C228" i="2" a="1"/>
  <c r="C228" i="2" s="1"/>
  <c r="C42" i="2" a="1"/>
  <c r="C42" i="2" s="1"/>
  <c r="C217" i="2" a="1"/>
  <c r="C217" i="2" s="1"/>
  <c r="C196" i="2" a="1"/>
  <c r="C196" i="2" s="1"/>
  <c r="C183" i="2" a="1"/>
  <c r="C183" i="2" s="1"/>
  <c r="C218" i="2" a="1"/>
  <c r="C218" i="2" s="1"/>
  <c r="C125" i="2" a="1"/>
  <c r="C125" i="2" s="1"/>
  <c r="C102" i="2" a="1"/>
  <c r="C102" i="2" s="1"/>
  <c r="C157" i="2" a="1"/>
  <c r="C157" i="2" s="1"/>
  <c r="C188" i="2" a="1"/>
  <c r="C188" i="2" s="1"/>
  <c r="C135" i="2" a="1"/>
  <c r="C135" i="2" s="1"/>
  <c r="C233" i="2" a="1"/>
  <c r="C233" i="2" s="1"/>
  <c r="C197" i="2" a="1"/>
  <c r="C197" i="2" s="1"/>
  <c r="C97" i="2" a="1"/>
  <c r="C97" i="2" s="1"/>
  <c r="C214" i="2" a="1"/>
  <c r="C214" i="2" s="1"/>
  <c r="C75" i="2" a="1"/>
  <c r="C75" i="2" s="1"/>
  <c r="C58" i="2" a="1"/>
  <c r="C58" i="2" s="1"/>
  <c r="C3" i="2" a="1"/>
  <c r="C3" i="2" s="1"/>
  <c r="C132" i="2" a="1"/>
  <c r="C132" i="2" s="1"/>
  <c r="C145" i="2" a="1"/>
  <c r="C145" i="2" s="1"/>
  <c r="C201" i="2" a="1"/>
  <c r="C201" i="2" s="1"/>
  <c r="C160" i="2" a="1"/>
  <c r="C160" i="2" s="1"/>
  <c r="C123" i="2" a="1"/>
  <c r="C123" i="2" s="1"/>
  <c r="C208" i="2" a="1"/>
  <c r="C208" i="2" s="1"/>
  <c r="C223" i="2" a="1"/>
  <c r="C223" i="2" s="1"/>
  <c r="C108" i="2" a="1"/>
  <c r="C108" i="2" s="1"/>
  <c r="C224" i="2" a="1"/>
  <c r="C224" i="2" s="1"/>
  <c r="C74" i="2" a="1"/>
  <c r="C74" i="2" s="1"/>
  <c r="C189" i="2" a="1"/>
  <c r="C189" i="2" s="1"/>
  <c r="C236" i="2" a="1"/>
  <c r="C236" i="2" s="1"/>
  <c r="C248" i="2" a="1"/>
  <c r="C248" i="2" s="1"/>
  <c r="C33" i="2" a="1"/>
  <c r="C33" i="2" s="1"/>
  <c r="C30" i="2" a="1"/>
  <c r="C30" i="2" s="1"/>
  <c r="C202" i="2" a="1"/>
  <c r="C202" i="2" s="1"/>
  <c r="C225" i="2" a="1"/>
  <c r="C225" i="2" s="1"/>
  <c r="C247" i="2" a="1"/>
  <c r="C247" i="2" s="1"/>
  <c r="C41" i="2" a="1"/>
  <c r="C41" i="2" s="1"/>
  <c r="C137" i="2" a="1"/>
  <c r="C137" i="2" s="1"/>
  <c r="C62" i="2" a="1"/>
  <c r="C62" i="2" s="1"/>
  <c r="C35" i="2" a="1"/>
  <c r="C35" i="2" s="1"/>
  <c r="C195" i="2" a="1"/>
  <c r="C195" i="2" s="1"/>
  <c r="C143" i="2" a="1"/>
  <c r="C143" i="2" s="1"/>
  <c r="C238" i="2" a="1"/>
  <c r="C238" i="2" s="1"/>
  <c r="C52" i="2" a="1"/>
  <c r="C52" i="2" s="1"/>
  <c r="C82" i="2" a="1"/>
  <c r="C82" i="2" s="1"/>
  <c r="C5" i="2" a="1"/>
  <c r="C5" i="2" s="1"/>
  <c r="C76" i="2" a="1"/>
  <c r="C76" i="2" s="1"/>
  <c r="C172" i="2" a="1"/>
  <c r="C172" i="2" s="1"/>
  <c r="C249" i="2" a="1"/>
  <c r="C249" i="2" s="1"/>
  <c r="C8" i="2" a="1"/>
  <c r="C8" i="2" s="1"/>
  <c r="C66" i="2" a="1"/>
  <c r="C66" i="2" s="1"/>
  <c r="C209" i="2" a="1"/>
  <c r="C209" i="2" s="1"/>
  <c r="C176" i="2" a="1"/>
  <c r="C176" i="2" s="1"/>
  <c r="C98" i="2" a="1"/>
  <c r="C98" i="2" s="1"/>
  <c r="C122" i="2" a="1"/>
  <c r="C122" i="2" s="1"/>
  <c r="C4" i="2" a="1"/>
  <c r="C4" i="2" s="1"/>
  <c r="C184" i="2" a="1"/>
  <c r="C184" i="2" s="1"/>
  <c r="C142" i="2" a="1"/>
  <c r="C142" i="2" s="1"/>
  <c r="C117" i="2" a="1"/>
  <c r="C117" i="2" s="1"/>
  <c r="C147" i="2" a="1"/>
  <c r="C147" i="2" s="1"/>
  <c r="C205" i="2" a="1"/>
  <c r="C205" i="2" s="1"/>
  <c r="C179" i="2" a="1"/>
  <c r="C179" i="2" s="1"/>
  <c r="C213" i="2" a="1"/>
  <c r="C213" i="2" s="1"/>
  <c r="C227" i="2" a="1"/>
  <c r="C227" i="2" s="1"/>
  <c r="C148" i="2" a="1"/>
  <c r="C148" i="2" s="1"/>
  <c r="C221" i="2" a="1"/>
  <c r="C221" i="2" s="1"/>
  <c r="C89" i="2" a="1"/>
  <c r="C89" i="2" s="1"/>
  <c r="C127" i="2" a="1"/>
  <c r="C127" i="2" s="1"/>
  <c r="C203" i="2" a="1"/>
  <c r="C203" i="2" s="1"/>
  <c r="C87" i="2" a="1"/>
  <c r="C87" i="2" s="1"/>
  <c r="C6" i="2" a="1"/>
  <c r="C6" i="2" s="1"/>
  <c r="C17" i="2" a="1"/>
  <c r="C17" i="2" s="1"/>
  <c r="C81" i="2" a="1"/>
  <c r="C81" i="2" s="1"/>
  <c r="C16" i="2" a="1"/>
  <c r="C16" i="2" s="1"/>
  <c r="C9" i="2" a="1"/>
  <c r="C9" i="2" s="1"/>
  <c r="C140" i="2" a="1"/>
  <c r="C140" i="2" s="1"/>
  <c r="C65" i="2" a="1"/>
  <c r="C65" i="2" s="1"/>
  <c r="C187" i="2" a="1"/>
  <c r="C187" i="2" s="1"/>
  <c r="C204" i="2" a="1"/>
  <c r="C204" i="2" s="1"/>
  <c r="C134" i="2" a="1"/>
  <c r="C134" i="2" s="1"/>
  <c r="C109" i="2" a="1"/>
  <c r="C109" i="2" s="1"/>
  <c r="C103" i="2" a="1"/>
  <c r="C103" i="2" s="1"/>
  <c r="C90" i="2" a="1"/>
  <c r="C90" i="2" s="1"/>
  <c r="C237" i="2" a="1"/>
  <c r="C237" i="2" s="1"/>
  <c r="C101" i="2" a="1"/>
  <c r="C101" i="2" s="1"/>
  <c r="C169" i="2" a="1"/>
  <c r="C169" i="2" s="1"/>
  <c r="C64" i="2" a="1"/>
  <c r="C64" i="2" s="1"/>
  <c r="C11" i="2" a="1"/>
  <c r="C11" i="2" s="1"/>
  <c r="C114" i="2" a="1"/>
  <c r="C114" i="2" s="1"/>
  <c r="C107" i="2" a="1"/>
  <c r="C107" i="2" s="1"/>
  <c r="C119" i="2" a="1"/>
  <c r="C119" i="2" s="1"/>
  <c r="C43" i="2" a="1"/>
  <c r="C43" i="2" s="1"/>
  <c r="C199" i="2" a="1"/>
  <c r="C199" i="2" s="1"/>
  <c r="C231" i="2" a="1"/>
  <c r="C231" i="2" s="1"/>
  <c r="C78" i="2" a="1"/>
  <c r="C78" i="2" s="1"/>
  <c r="C226" i="2" a="1"/>
  <c r="C226" i="2" s="1"/>
  <c r="C44" i="2" a="1"/>
  <c r="C44" i="2" s="1"/>
  <c r="C251" i="2" a="1"/>
  <c r="C251" i="2" s="1"/>
  <c r="C12" i="2" a="1"/>
  <c r="C12" i="2" s="1"/>
  <c r="C241" i="2" a="1"/>
  <c r="C241" i="2" s="1"/>
  <c r="C129" i="2" a="1"/>
  <c r="C129" i="2" s="1"/>
  <c r="C88" i="2" a="1"/>
  <c r="C88" i="2" s="1"/>
  <c r="C131" i="2" a="1"/>
  <c r="C131" i="2" s="1"/>
  <c r="C105" i="2" a="1"/>
  <c r="C105" i="2" s="1"/>
  <c r="C36" i="2" a="1"/>
  <c r="C36" i="2" s="1"/>
  <c r="C154" i="2" a="1"/>
  <c r="C154" i="2" s="1"/>
  <c r="C170" i="2" a="1"/>
  <c r="C170" i="2" s="1"/>
  <c r="C138" i="2" a="1"/>
  <c r="C138" i="2" s="1"/>
  <c r="C68" i="2" a="1"/>
  <c r="C68" i="2" s="1"/>
  <c r="C100" i="2" a="1"/>
  <c r="C100" i="2" s="1"/>
  <c r="C15" i="2" a="1"/>
  <c r="C15" i="2" s="1"/>
  <c r="C151" i="2" a="1"/>
  <c r="C151" i="2" s="1"/>
  <c r="C234" i="2" a="1"/>
  <c r="C234" i="2" s="1"/>
  <c r="C210" i="2" a="1"/>
  <c r="C210" i="2" s="1"/>
  <c r="C79" i="2" a="1"/>
  <c r="C79" i="2" s="1"/>
  <c r="C211" i="2" a="1"/>
  <c r="C211" i="2" s="1"/>
  <c r="C156" i="2" a="1"/>
  <c r="C156" i="2" s="1"/>
  <c r="C191" i="2" a="1"/>
  <c r="C191" i="2" s="1"/>
  <c r="C59" i="2" a="1"/>
  <c r="C59" i="2" s="1"/>
  <c r="C239" i="2" a="1"/>
  <c r="C239" i="2" s="1"/>
  <c r="G67" i="2" a="1"/>
  <c r="G67" i="2" s="1"/>
  <c r="G28" i="2" a="1"/>
  <c r="G28" i="2" s="1"/>
  <c r="G47" i="2" a="1"/>
  <c r="G47" i="2" s="1"/>
  <c r="G186" i="2" a="1"/>
  <c r="G186" i="2" s="1"/>
  <c r="G27" i="2" a="1"/>
  <c r="G27" i="2" s="1"/>
  <c r="G86" i="2" a="1"/>
  <c r="G86" i="2" s="1"/>
  <c r="G244" i="2" a="1"/>
  <c r="G244" i="2" s="1"/>
  <c r="G48" i="2" a="1"/>
  <c r="G48" i="2" s="1"/>
  <c r="G130" i="2" a="1"/>
  <c r="G130" i="2" s="1"/>
  <c r="G20" i="2" a="1"/>
  <c r="G20" i="2" s="1"/>
  <c r="G166" i="2" a="1"/>
  <c r="G166" i="2" s="1"/>
  <c r="G80" i="2" a="1"/>
  <c r="G80" i="2" s="1"/>
  <c r="G22" i="2" a="1"/>
  <c r="G22" i="2" s="1"/>
  <c r="G222" i="2" a="1"/>
  <c r="G222" i="2" s="1"/>
  <c r="G232" i="2" a="1"/>
  <c r="G232" i="2" s="1"/>
  <c r="G171" i="2" a="1"/>
  <c r="G171" i="2" s="1"/>
  <c r="G7" i="2" a="1"/>
  <c r="G7" i="2" s="1"/>
  <c r="G136" i="2" a="1"/>
  <c r="G136" i="2" s="1"/>
  <c r="G173" i="2" a="1"/>
  <c r="G173" i="2" s="1"/>
  <c r="G10" i="2" a="1"/>
  <c r="G10" i="2" s="1"/>
  <c r="G149" i="2" a="1"/>
  <c r="G149" i="2" s="1"/>
  <c r="G152" i="2" a="1"/>
  <c r="G152" i="2" s="1"/>
  <c r="G198" i="2" a="1"/>
  <c r="G198" i="2" s="1"/>
  <c r="G94" i="2" a="1"/>
  <c r="G94" i="2" s="1"/>
  <c r="G18" i="2" a="1"/>
  <c r="G18" i="2" s="1"/>
  <c r="G118" i="2" a="1"/>
  <c r="G118" i="2" s="1"/>
  <c r="G230" i="2" a="1"/>
  <c r="G230" i="2" s="1"/>
  <c r="G175" i="2" a="1"/>
  <c r="G175" i="2" s="1"/>
  <c r="G235" i="2" a="1"/>
  <c r="G235" i="2" s="1"/>
  <c r="G95" i="2" a="1"/>
  <c r="G95" i="2" s="1"/>
  <c r="G194" i="2" a="1"/>
  <c r="G194" i="2" s="1"/>
  <c r="G181" i="2" a="1"/>
  <c r="G181" i="2" s="1"/>
  <c r="G185" i="2" a="1"/>
  <c r="G185" i="2" s="1"/>
  <c r="G220" i="2" a="1"/>
  <c r="G220" i="2" s="1"/>
  <c r="G83" i="2" a="1"/>
  <c r="G83" i="2" s="1"/>
  <c r="G110" i="2" a="1"/>
  <c r="G110" i="2" s="1"/>
  <c r="G229" i="2" a="1"/>
  <c r="G229" i="2" s="1"/>
  <c r="G70" i="2" a="1"/>
  <c r="G70" i="2" s="1"/>
  <c r="G51" i="2" a="1"/>
  <c r="G51" i="2" s="1"/>
  <c r="G174" i="2" a="1"/>
  <c r="G174" i="2" s="1"/>
  <c r="G73" i="2" a="1"/>
  <c r="G73" i="2" s="1"/>
  <c r="G99" i="2" a="1"/>
  <c r="G99" i="2" s="1"/>
  <c r="G212" i="2" a="1"/>
  <c r="G212" i="2" s="1"/>
  <c r="G55" i="2" a="1"/>
  <c r="G55" i="2" s="1"/>
  <c r="G167" i="2" a="1"/>
  <c r="G167" i="2" s="1"/>
  <c r="G37" i="2" a="1"/>
  <c r="G37" i="2" s="1"/>
  <c r="G153" i="2" a="1"/>
  <c r="G153" i="2" s="1"/>
  <c r="G21" i="2" a="1"/>
  <c r="G21" i="2" s="1"/>
  <c r="G92" i="2" a="1"/>
  <c r="G92" i="2" s="1"/>
  <c r="G245" i="2" a="1"/>
  <c r="G245" i="2" s="1"/>
  <c r="G124" i="2" a="1"/>
  <c r="G124" i="2" s="1"/>
  <c r="G133" i="2" a="1"/>
  <c r="G133" i="2" s="1"/>
  <c r="G60" i="2" a="1"/>
  <c r="G60" i="2" s="1"/>
  <c r="G250" i="2" a="1"/>
  <c r="G250" i="2" s="1"/>
  <c r="G56" i="2" a="1"/>
  <c r="G56" i="2" s="1"/>
  <c r="G61" i="2" a="1"/>
  <c r="G61" i="2" s="1"/>
  <c r="G165" i="2" a="1"/>
  <c r="G165" i="2" s="1"/>
  <c r="G111" i="2" a="1"/>
  <c r="G111" i="2" s="1"/>
  <c r="G91" i="2" a="1"/>
  <c r="G91" i="2" s="1"/>
  <c r="G38" i="2" a="1"/>
  <c r="G38" i="2" s="1"/>
  <c r="G242" i="2" a="1"/>
  <c r="G242" i="2" s="1"/>
  <c r="G128" i="2" a="1"/>
  <c r="G128" i="2" s="1"/>
  <c r="G192" i="2" a="1"/>
  <c r="G192" i="2" s="1"/>
  <c r="G215" i="2" a="1"/>
  <c r="G215" i="2" s="1"/>
  <c r="G104" i="2" a="1"/>
  <c r="G104" i="2" s="1"/>
  <c r="G69" i="2" a="1"/>
  <c r="G69" i="2" s="1"/>
  <c r="G177" i="2" a="1"/>
  <c r="G177" i="2" s="1"/>
  <c r="G24" i="2" a="1"/>
  <c r="G24" i="2" s="1"/>
  <c r="G115" i="2" a="1"/>
  <c r="G115" i="2" s="1"/>
  <c r="G40" i="2" a="1"/>
  <c r="G40" i="2" s="1"/>
  <c r="G29" i="2" a="1"/>
  <c r="G29" i="2" s="1"/>
  <c r="G206" i="2" a="1"/>
  <c r="G206" i="2" s="1"/>
  <c r="G126" i="2" a="1"/>
  <c r="G126" i="2" s="1"/>
  <c r="G168" i="2" a="1"/>
  <c r="G168" i="2" s="1"/>
  <c r="G19" i="2" a="1"/>
  <c r="G19" i="2" s="1"/>
  <c r="G246" i="2" a="1"/>
  <c r="G246" i="2" s="1"/>
  <c r="G216" i="2" a="1"/>
  <c r="G216" i="2" s="1"/>
  <c r="G46" i="2" a="1"/>
  <c r="G46" i="2" s="1"/>
  <c r="G180" i="2" a="1"/>
  <c r="G180" i="2" s="1"/>
  <c r="G2" i="2" a="1"/>
  <c r="G2" i="2" s="1"/>
  <c r="G155" i="2" a="1"/>
  <c r="G155" i="2" s="1"/>
  <c r="G50" i="2" a="1"/>
  <c r="G50" i="2" s="1"/>
  <c r="G158" i="2" a="1"/>
  <c r="G158" i="2" s="1"/>
  <c r="G13" i="2" a="1"/>
  <c r="G13" i="2" s="1"/>
  <c r="G219" i="2" a="1"/>
  <c r="G219" i="2" s="1"/>
  <c r="G45" i="2" a="1"/>
  <c r="G45" i="2" s="1"/>
  <c r="G112" i="2" a="1"/>
  <c r="G112" i="2" s="1"/>
  <c r="G207" i="2" a="1"/>
  <c r="G207" i="2" s="1"/>
  <c r="G121" i="2" a="1"/>
  <c r="G121" i="2" s="1"/>
  <c r="G84" i="2" a="1"/>
  <c r="G84" i="2" s="1"/>
  <c r="G85" i="2" a="1"/>
  <c r="G85" i="2" s="1"/>
  <c r="G23" i="2" a="1"/>
  <c r="G23" i="2" s="1"/>
  <c r="G120" i="2" a="1"/>
  <c r="G120" i="2" s="1"/>
  <c r="G96" i="2" a="1"/>
  <c r="G96" i="2" s="1"/>
  <c r="G116" i="2" a="1"/>
  <c r="G116" i="2" s="1"/>
  <c r="G162" i="2" a="1"/>
  <c r="G162" i="2" s="1"/>
  <c r="G106" i="2" a="1"/>
  <c r="G106" i="2" s="1"/>
  <c r="G144" i="2" a="1"/>
  <c r="G144" i="2" s="1"/>
  <c r="G190" i="2" a="1"/>
  <c r="G190" i="2" s="1"/>
  <c r="G32" i="2" a="1"/>
  <c r="G32" i="2" s="1"/>
  <c r="G240" i="2" a="1"/>
  <c r="G240" i="2" s="1"/>
  <c r="G53" i="2" a="1"/>
  <c r="G53" i="2" s="1"/>
  <c r="G25" i="2" a="1"/>
  <c r="G25" i="2" s="1"/>
  <c r="G182" i="2" a="1"/>
  <c r="G182" i="2" s="1"/>
  <c r="G243" i="2" a="1"/>
  <c r="G243" i="2" s="1"/>
  <c r="G71" i="2" a="1"/>
  <c r="G71" i="2" s="1"/>
  <c r="G93" i="2" a="1"/>
  <c r="G93" i="2" s="1"/>
  <c r="G14" i="2" a="1"/>
  <c r="G14" i="2" s="1"/>
  <c r="G113" i="2" a="1"/>
  <c r="G113" i="2" s="1"/>
  <c r="G39" i="2" a="1"/>
  <c r="G39" i="2" s="1"/>
  <c r="G72" i="2" a="1"/>
  <c r="G72" i="2" s="1"/>
  <c r="G77" i="2" a="1"/>
  <c r="G77" i="2" s="1"/>
  <c r="G63" i="2" a="1"/>
  <c r="G63" i="2" s="1"/>
  <c r="G178" i="2" a="1"/>
  <c r="G178" i="2" s="1"/>
  <c r="G141" i="2" a="1"/>
  <c r="G141" i="2" s="1"/>
  <c r="G150" i="2" a="1"/>
  <c r="G150" i="2" s="1"/>
  <c r="G200" i="2" a="1"/>
  <c r="G200" i="2" s="1"/>
  <c r="G164" i="2" a="1"/>
  <c r="G164" i="2" s="1"/>
  <c r="G161" i="2" a="1"/>
  <c r="G161" i="2" s="1"/>
  <c r="G49" i="2" a="1"/>
  <c r="G49" i="2" s="1"/>
  <c r="G34" i="2" a="1"/>
  <c r="G34" i="2" s="1"/>
  <c r="G146" i="2" a="1"/>
  <c r="G146" i="2" s="1"/>
  <c r="G31" i="2" a="1"/>
  <c r="G31" i="2" s="1"/>
  <c r="G26" i="2" a="1"/>
  <c r="G26" i="2" s="1"/>
  <c r="G57" i="2" a="1"/>
  <c r="G57" i="2" s="1"/>
  <c r="G193" i="2" a="1"/>
  <c r="G193" i="2" s="1"/>
  <c r="G163" i="2" a="1"/>
  <c r="G163" i="2" s="1"/>
  <c r="G159" i="2" a="1"/>
  <c r="G159" i="2" s="1"/>
  <c r="G54" i="2" a="1"/>
  <c r="G54" i="2" s="1"/>
  <c r="G139" i="2" a="1"/>
  <c r="G139" i="2" s="1"/>
  <c r="G228" i="2" a="1"/>
  <c r="G228" i="2" s="1"/>
  <c r="G42" i="2" a="1"/>
  <c r="G42" i="2" s="1"/>
  <c r="G217" i="2" a="1"/>
  <c r="G217" i="2" s="1"/>
  <c r="G196" i="2" a="1"/>
  <c r="G196" i="2" s="1"/>
  <c r="G183" i="2" a="1"/>
  <c r="G183" i="2" s="1"/>
  <c r="G218" i="2" a="1"/>
  <c r="G218" i="2" s="1"/>
  <c r="G125" i="2" a="1"/>
  <c r="G125" i="2" s="1"/>
  <c r="G102" i="2" a="1"/>
  <c r="G102" i="2" s="1"/>
  <c r="G157" i="2" a="1"/>
  <c r="G157" i="2" s="1"/>
  <c r="G188" i="2" a="1"/>
  <c r="G188" i="2" s="1"/>
  <c r="G135" i="2" a="1"/>
  <c r="G135" i="2" s="1"/>
  <c r="G233" i="2" a="1"/>
  <c r="G233" i="2" s="1"/>
  <c r="G197" i="2" a="1"/>
  <c r="G197" i="2" s="1"/>
  <c r="G97" i="2" a="1"/>
  <c r="G97" i="2" s="1"/>
  <c r="G214" i="2" a="1"/>
  <c r="G214" i="2" s="1"/>
  <c r="G75" i="2" a="1"/>
  <c r="G75" i="2" s="1"/>
  <c r="G58" i="2" a="1"/>
  <c r="G58" i="2" s="1"/>
  <c r="G3" i="2" a="1"/>
  <c r="G3" i="2" s="1"/>
  <c r="G132" i="2" a="1"/>
  <c r="G132" i="2" s="1"/>
  <c r="G145" i="2" a="1"/>
  <c r="G145" i="2" s="1"/>
  <c r="G201" i="2" a="1"/>
  <c r="G201" i="2" s="1"/>
  <c r="G160" i="2" a="1"/>
  <c r="G160" i="2" s="1"/>
  <c r="G123" i="2" a="1"/>
  <c r="G123" i="2" s="1"/>
  <c r="G208" i="2" a="1"/>
  <c r="G208" i="2" s="1"/>
  <c r="G223" i="2" a="1"/>
  <c r="G223" i="2" s="1"/>
  <c r="G108" i="2" a="1"/>
  <c r="G108" i="2" s="1"/>
  <c r="G224" i="2" a="1"/>
  <c r="G224" i="2" s="1"/>
  <c r="G74" i="2" a="1"/>
  <c r="G74" i="2" s="1"/>
  <c r="G189" i="2" a="1"/>
  <c r="G189" i="2" s="1"/>
  <c r="G236" i="2" a="1"/>
  <c r="G236" i="2" s="1"/>
  <c r="G248" i="2" a="1"/>
  <c r="G248" i="2" s="1"/>
  <c r="G33" i="2" a="1"/>
  <c r="G33" i="2" s="1"/>
  <c r="G30" i="2" a="1"/>
  <c r="G30" i="2" s="1"/>
  <c r="G202" i="2" a="1"/>
  <c r="G202" i="2" s="1"/>
  <c r="G225" i="2" a="1"/>
  <c r="G225" i="2" s="1"/>
  <c r="G247" i="2" a="1"/>
  <c r="G247" i="2" s="1"/>
  <c r="G41" i="2" a="1"/>
  <c r="G41" i="2" s="1"/>
  <c r="G137" i="2" a="1"/>
  <c r="G137" i="2" s="1"/>
  <c r="G62" i="2" a="1"/>
  <c r="G62" i="2" s="1"/>
  <c r="G35" i="2" a="1"/>
  <c r="G35" i="2" s="1"/>
  <c r="G195" i="2" a="1"/>
  <c r="G195" i="2" s="1"/>
  <c r="G143" i="2" a="1"/>
  <c r="G143" i="2" s="1"/>
  <c r="G238" i="2" a="1"/>
  <c r="G238" i="2" s="1"/>
  <c r="G52" i="2" a="1"/>
  <c r="G52" i="2" s="1"/>
  <c r="G82" i="2" a="1"/>
  <c r="G82" i="2" s="1"/>
  <c r="G5" i="2" a="1"/>
  <c r="G5" i="2" s="1"/>
  <c r="G76" i="2" a="1"/>
  <c r="G76" i="2" s="1"/>
  <c r="G172" i="2" a="1"/>
  <c r="G172" i="2" s="1"/>
  <c r="G249" i="2" a="1"/>
  <c r="G249" i="2" s="1"/>
  <c r="G8" i="2" a="1"/>
  <c r="G8" i="2" s="1"/>
  <c r="G66" i="2" a="1"/>
  <c r="G66" i="2" s="1"/>
  <c r="G209" i="2" a="1"/>
  <c r="G209" i="2" s="1"/>
  <c r="G176" i="2" a="1"/>
  <c r="G176" i="2" s="1"/>
  <c r="G98" i="2" a="1"/>
  <c r="G98" i="2" s="1"/>
  <c r="G122" i="2" a="1"/>
  <c r="G122" i="2" s="1"/>
  <c r="G4" i="2" a="1"/>
  <c r="G4" i="2" s="1"/>
  <c r="G184" i="2" a="1"/>
  <c r="G184" i="2" s="1"/>
  <c r="G142" i="2" a="1"/>
  <c r="G142" i="2" s="1"/>
  <c r="G117" i="2" a="1"/>
  <c r="G117" i="2" s="1"/>
  <c r="G147" i="2" a="1"/>
  <c r="G147" i="2" s="1"/>
  <c r="G205" i="2" a="1"/>
  <c r="G205" i="2" s="1"/>
  <c r="G179" i="2" a="1"/>
  <c r="G179" i="2" s="1"/>
  <c r="G213" i="2" a="1"/>
  <c r="G213" i="2" s="1"/>
  <c r="G227" i="2" a="1"/>
  <c r="G227" i="2" s="1"/>
  <c r="G148" i="2" a="1"/>
  <c r="G148" i="2" s="1"/>
  <c r="G221" i="2" a="1"/>
  <c r="G221" i="2" s="1"/>
  <c r="G89" i="2" a="1"/>
  <c r="G89" i="2" s="1"/>
  <c r="G127" i="2" a="1"/>
  <c r="G127" i="2" s="1"/>
  <c r="G203" i="2" a="1"/>
  <c r="G203" i="2" s="1"/>
  <c r="G87" i="2" a="1"/>
  <c r="G87" i="2" s="1"/>
  <c r="G6" i="2" a="1"/>
  <c r="G6" i="2" s="1"/>
  <c r="G17" i="2" a="1"/>
  <c r="G17" i="2" s="1"/>
  <c r="G81" i="2" a="1"/>
  <c r="G81" i="2" s="1"/>
  <c r="G16" i="2" a="1"/>
  <c r="G16" i="2" s="1"/>
  <c r="G9" i="2" a="1"/>
  <c r="G9" i="2" s="1"/>
  <c r="G140" i="2" a="1"/>
  <c r="G140" i="2" s="1"/>
  <c r="G65" i="2" a="1"/>
  <c r="G65" i="2" s="1"/>
  <c r="G187" i="2" a="1"/>
  <c r="G187" i="2" s="1"/>
  <c r="G204" i="2" a="1"/>
  <c r="G204" i="2" s="1"/>
  <c r="G134" i="2" a="1"/>
  <c r="G134" i="2" s="1"/>
  <c r="G109" i="2" a="1"/>
  <c r="G109" i="2" s="1"/>
  <c r="G103" i="2" a="1"/>
  <c r="G103" i="2" s="1"/>
  <c r="G90" i="2" a="1"/>
  <c r="G90" i="2" s="1"/>
  <c r="G237" i="2" a="1"/>
  <c r="G237" i="2" s="1"/>
  <c r="G101" i="2" a="1"/>
  <c r="G101" i="2" s="1"/>
  <c r="G169" i="2" a="1"/>
  <c r="G169" i="2" s="1"/>
  <c r="G64" i="2" a="1"/>
  <c r="G64" i="2" s="1"/>
  <c r="G11" i="2" a="1"/>
  <c r="G11" i="2" s="1"/>
  <c r="G114" i="2" a="1"/>
  <c r="G114" i="2" s="1"/>
  <c r="G107" i="2" a="1"/>
  <c r="G107" i="2" s="1"/>
  <c r="G119" i="2" a="1"/>
  <c r="G119" i="2" s="1"/>
  <c r="G43" i="2" a="1"/>
  <c r="G43" i="2" s="1"/>
  <c r="G199" i="2" a="1"/>
  <c r="G199" i="2" s="1"/>
  <c r="G231" i="2" a="1"/>
  <c r="G231" i="2" s="1"/>
  <c r="G78" i="2" a="1"/>
  <c r="G78" i="2" s="1"/>
  <c r="G226" i="2" a="1"/>
  <c r="G226" i="2" s="1"/>
  <c r="G44" i="2" a="1"/>
  <c r="G44" i="2" s="1"/>
  <c r="G251" i="2" a="1"/>
  <c r="G251" i="2" s="1"/>
  <c r="G12" i="2" a="1"/>
  <c r="G12" i="2" s="1"/>
  <c r="G241" i="2" a="1"/>
  <c r="G241" i="2" s="1"/>
  <c r="G129" i="2" a="1"/>
  <c r="G129" i="2" s="1"/>
  <c r="G88" i="2" a="1"/>
  <c r="G88" i="2" s="1"/>
  <c r="G131" i="2" a="1"/>
  <c r="G131" i="2" s="1"/>
  <c r="G105" i="2" a="1"/>
  <c r="G105" i="2" s="1"/>
  <c r="G36" i="2" a="1"/>
  <c r="G36" i="2" s="1"/>
  <c r="G154" i="2" a="1"/>
  <c r="G154" i="2" s="1"/>
  <c r="G170" i="2" a="1"/>
  <c r="G170" i="2" s="1"/>
  <c r="G138" i="2" a="1"/>
  <c r="G138" i="2" s="1"/>
  <c r="G68" i="2" a="1"/>
  <c r="G68" i="2" s="1"/>
  <c r="G100" i="2" a="1"/>
  <c r="G100" i="2" s="1"/>
  <c r="G15" i="2" a="1"/>
  <c r="G15" i="2" s="1"/>
  <c r="G151" i="2" a="1"/>
  <c r="G151" i="2" s="1"/>
  <c r="G234" i="2" a="1"/>
  <c r="G234" i="2" s="1"/>
  <c r="G210" i="2" a="1"/>
  <c r="G210" i="2" s="1"/>
  <c r="G79" i="2" a="1"/>
  <c r="G79" i="2" s="1"/>
  <c r="G211" i="2" a="1"/>
  <c r="G211" i="2" s="1"/>
  <c r="G156" i="2" a="1"/>
  <c r="G156" i="2" s="1"/>
  <c r="G191" i="2" a="1"/>
  <c r="G191" i="2" s="1"/>
  <c r="G59" i="2" a="1"/>
  <c r="G59" i="2" s="1"/>
  <c r="G239" i="2" a="1"/>
  <c r="G239" i="2" s="1"/>
  <c r="E67" i="2" a="1"/>
  <c r="E67" i="2" s="1"/>
  <c r="E28" i="2" a="1"/>
  <c r="E28" i="2" s="1"/>
  <c r="E47" i="2" a="1"/>
  <c r="E47" i="2" s="1"/>
  <c r="E186" i="2" a="1"/>
  <c r="E186" i="2" s="1"/>
  <c r="E27" i="2" a="1"/>
  <c r="E27" i="2" s="1"/>
  <c r="E86" i="2" a="1"/>
  <c r="E86" i="2" s="1"/>
  <c r="E244" i="2" a="1"/>
  <c r="E244" i="2" s="1"/>
  <c r="E48" i="2" a="1"/>
  <c r="E48" i="2" s="1"/>
  <c r="E130" i="2" a="1"/>
  <c r="E130" i="2" s="1"/>
  <c r="E20" i="2" a="1"/>
  <c r="E20" i="2" s="1"/>
  <c r="E166" i="2" a="1"/>
  <c r="E166" i="2" s="1"/>
  <c r="E80" i="2" a="1"/>
  <c r="E80" i="2" s="1"/>
  <c r="E22" i="2" a="1"/>
  <c r="E22" i="2" s="1"/>
  <c r="E222" i="2" a="1"/>
  <c r="E222" i="2" s="1"/>
  <c r="E232" i="2" a="1"/>
  <c r="E232" i="2" s="1"/>
  <c r="E171" i="2" a="1"/>
  <c r="E171" i="2" s="1"/>
  <c r="E7" i="2" a="1"/>
  <c r="E7" i="2" s="1"/>
  <c r="E136" i="2" a="1"/>
  <c r="E136" i="2" s="1"/>
  <c r="E173" i="2" a="1"/>
  <c r="E173" i="2" s="1"/>
  <c r="E10" i="2" a="1"/>
  <c r="E10" i="2" s="1"/>
  <c r="E149" i="2" a="1"/>
  <c r="E149" i="2" s="1"/>
  <c r="E152" i="2" a="1"/>
  <c r="E152" i="2" s="1"/>
  <c r="E198" i="2" a="1"/>
  <c r="E198" i="2" s="1"/>
  <c r="E94" i="2" a="1"/>
  <c r="E94" i="2" s="1"/>
  <c r="E18" i="2" a="1"/>
  <c r="E18" i="2" s="1"/>
  <c r="E118" i="2" a="1"/>
  <c r="E118" i="2" s="1"/>
  <c r="E230" i="2" a="1"/>
  <c r="E230" i="2" s="1"/>
  <c r="E175" i="2" a="1"/>
  <c r="E175" i="2" s="1"/>
  <c r="E235" i="2" a="1"/>
  <c r="E235" i="2" s="1"/>
  <c r="E95" i="2" a="1"/>
  <c r="E95" i="2" s="1"/>
  <c r="E194" i="2" a="1"/>
  <c r="E194" i="2" s="1"/>
  <c r="E181" i="2" a="1"/>
  <c r="E181" i="2" s="1"/>
  <c r="E185" i="2" a="1"/>
  <c r="E185" i="2" s="1"/>
  <c r="E220" i="2" a="1"/>
  <c r="E220" i="2" s="1"/>
  <c r="E83" i="2" a="1"/>
  <c r="E83" i="2" s="1"/>
  <c r="E110" i="2" a="1"/>
  <c r="E110" i="2" s="1"/>
  <c r="E229" i="2" a="1"/>
  <c r="E229" i="2" s="1"/>
  <c r="E70" i="2" a="1"/>
  <c r="E70" i="2" s="1"/>
  <c r="E51" i="2" a="1"/>
  <c r="E51" i="2" s="1"/>
  <c r="E174" i="2" a="1"/>
  <c r="E174" i="2" s="1"/>
  <c r="E73" i="2" a="1"/>
  <c r="E73" i="2" s="1"/>
  <c r="E99" i="2" a="1"/>
  <c r="E99" i="2" s="1"/>
  <c r="E212" i="2" a="1"/>
  <c r="E212" i="2" s="1"/>
  <c r="E55" i="2" a="1"/>
  <c r="E55" i="2" s="1"/>
  <c r="E167" i="2" a="1"/>
  <c r="E167" i="2" s="1"/>
  <c r="E37" i="2" a="1"/>
  <c r="E37" i="2" s="1"/>
  <c r="E153" i="2" a="1"/>
  <c r="E153" i="2" s="1"/>
  <c r="E21" i="2" a="1"/>
  <c r="E21" i="2" s="1"/>
  <c r="E92" i="2" a="1"/>
  <c r="E92" i="2" s="1"/>
  <c r="E245" i="2" a="1"/>
  <c r="E245" i="2" s="1"/>
  <c r="E124" i="2" a="1"/>
  <c r="E124" i="2" s="1"/>
  <c r="E133" i="2" a="1"/>
  <c r="E133" i="2" s="1"/>
  <c r="E60" i="2" a="1"/>
  <c r="E60" i="2" s="1"/>
  <c r="E250" i="2" a="1"/>
  <c r="E250" i="2" s="1"/>
  <c r="E56" i="2" a="1"/>
  <c r="E56" i="2" s="1"/>
  <c r="E61" i="2" a="1"/>
  <c r="E61" i="2" s="1"/>
  <c r="E165" i="2" a="1"/>
  <c r="E165" i="2" s="1"/>
  <c r="E111" i="2" a="1"/>
  <c r="E111" i="2" s="1"/>
  <c r="E91" i="2" a="1"/>
  <c r="E91" i="2" s="1"/>
  <c r="E38" i="2" a="1"/>
  <c r="E38" i="2" s="1"/>
  <c r="E242" i="2" a="1"/>
  <c r="E242" i="2" s="1"/>
  <c r="E128" i="2" a="1"/>
  <c r="E128" i="2" s="1"/>
  <c r="E192" i="2" a="1"/>
  <c r="E192" i="2" s="1"/>
  <c r="E215" i="2" a="1"/>
  <c r="E215" i="2" s="1"/>
  <c r="E104" i="2" a="1"/>
  <c r="E104" i="2" s="1"/>
  <c r="E69" i="2" a="1"/>
  <c r="E69" i="2" s="1"/>
  <c r="E177" i="2" a="1"/>
  <c r="E177" i="2" s="1"/>
  <c r="E24" i="2" a="1"/>
  <c r="E24" i="2" s="1"/>
  <c r="E115" i="2" a="1"/>
  <c r="E115" i="2" s="1"/>
  <c r="E40" i="2" a="1"/>
  <c r="E40" i="2" s="1"/>
  <c r="E29" i="2" a="1"/>
  <c r="E29" i="2" s="1"/>
  <c r="E206" i="2" a="1"/>
  <c r="E206" i="2" s="1"/>
  <c r="E126" i="2" a="1"/>
  <c r="E126" i="2" s="1"/>
  <c r="E168" i="2" a="1"/>
  <c r="E168" i="2" s="1"/>
  <c r="E19" i="2" a="1"/>
  <c r="E19" i="2" s="1"/>
  <c r="E246" i="2" a="1"/>
  <c r="E246" i="2" s="1"/>
  <c r="E216" i="2" a="1"/>
  <c r="E216" i="2" s="1"/>
  <c r="E46" i="2" a="1"/>
  <c r="E46" i="2" s="1"/>
  <c r="E180" i="2" a="1"/>
  <c r="E180" i="2" s="1"/>
  <c r="E2" i="2" a="1"/>
  <c r="E2" i="2" s="1"/>
  <c r="E155" i="2" a="1"/>
  <c r="E155" i="2" s="1"/>
  <c r="E50" i="2" a="1"/>
  <c r="E50" i="2" s="1"/>
  <c r="E158" i="2" a="1"/>
  <c r="E158" i="2" s="1"/>
  <c r="E13" i="2" a="1"/>
  <c r="E13" i="2" s="1"/>
  <c r="E219" i="2" a="1"/>
  <c r="E219" i="2" s="1"/>
  <c r="E45" i="2" a="1"/>
  <c r="E45" i="2" s="1"/>
  <c r="E112" i="2" a="1"/>
  <c r="E112" i="2" s="1"/>
  <c r="E207" i="2" a="1"/>
  <c r="E207" i="2" s="1"/>
  <c r="E121" i="2" a="1"/>
  <c r="E121" i="2" s="1"/>
  <c r="E84" i="2" a="1"/>
  <c r="E84" i="2" s="1"/>
  <c r="E85" i="2" a="1"/>
  <c r="E85" i="2" s="1"/>
  <c r="E23" i="2" a="1"/>
  <c r="E23" i="2" s="1"/>
  <c r="E120" i="2" a="1"/>
  <c r="E120" i="2" s="1"/>
  <c r="E96" i="2" a="1"/>
  <c r="E96" i="2" s="1"/>
  <c r="E116" i="2" a="1"/>
  <c r="E116" i="2" s="1"/>
  <c r="E162" i="2" a="1"/>
  <c r="E162" i="2" s="1"/>
  <c r="E106" i="2" a="1"/>
  <c r="E106" i="2" s="1"/>
  <c r="E144" i="2" a="1"/>
  <c r="E144" i="2" s="1"/>
  <c r="E190" i="2" a="1"/>
  <c r="E190" i="2" s="1"/>
  <c r="E32" i="2" a="1"/>
  <c r="E32" i="2" s="1"/>
  <c r="E240" i="2" a="1"/>
  <c r="E240" i="2" s="1"/>
  <c r="E53" i="2" a="1"/>
  <c r="E53" i="2" s="1"/>
  <c r="E25" i="2" a="1"/>
  <c r="E25" i="2" s="1"/>
  <c r="E182" i="2" a="1"/>
  <c r="E182" i="2" s="1"/>
  <c r="E243" i="2" a="1"/>
  <c r="E243" i="2" s="1"/>
  <c r="E71" i="2" a="1"/>
  <c r="E71" i="2" s="1"/>
  <c r="E93" i="2" a="1"/>
  <c r="E93" i="2" s="1"/>
  <c r="E14" i="2" a="1"/>
  <c r="E14" i="2" s="1"/>
  <c r="E113" i="2" a="1"/>
  <c r="E113" i="2" s="1"/>
  <c r="E39" i="2" a="1"/>
  <c r="E39" i="2" s="1"/>
  <c r="E72" i="2" a="1"/>
  <c r="E72" i="2" s="1"/>
  <c r="E77" i="2" a="1"/>
  <c r="E77" i="2" s="1"/>
  <c r="E63" i="2" a="1"/>
  <c r="E63" i="2" s="1"/>
  <c r="E178" i="2" a="1"/>
  <c r="E178" i="2" s="1"/>
  <c r="E141" i="2" a="1"/>
  <c r="E141" i="2" s="1"/>
  <c r="E150" i="2" a="1"/>
  <c r="E150" i="2" s="1"/>
  <c r="E200" i="2" a="1"/>
  <c r="E200" i="2" s="1"/>
  <c r="E164" i="2" a="1"/>
  <c r="E164" i="2" s="1"/>
  <c r="E161" i="2" a="1"/>
  <c r="E161" i="2" s="1"/>
  <c r="E49" i="2" a="1"/>
  <c r="E49" i="2" s="1"/>
  <c r="E34" i="2" a="1"/>
  <c r="E34" i="2" s="1"/>
  <c r="E146" i="2" a="1"/>
  <c r="E146" i="2" s="1"/>
  <c r="E31" i="2" a="1"/>
  <c r="E31" i="2" s="1"/>
  <c r="E26" i="2" a="1"/>
  <c r="E26" i="2" s="1"/>
  <c r="E57" i="2" a="1"/>
  <c r="E57" i="2" s="1"/>
  <c r="E193" i="2" a="1"/>
  <c r="E193" i="2" s="1"/>
  <c r="E163" i="2" a="1"/>
  <c r="E163" i="2" s="1"/>
  <c r="E159" i="2" a="1"/>
  <c r="E159" i="2" s="1"/>
  <c r="E54" i="2" a="1"/>
  <c r="E54" i="2" s="1"/>
  <c r="E139" i="2" a="1"/>
  <c r="E139" i="2" s="1"/>
  <c r="E228" i="2" a="1"/>
  <c r="E228" i="2" s="1"/>
  <c r="E42" i="2" a="1"/>
  <c r="E42" i="2" s="1"/>
  <c r="E217" i="2" a="1"/>
  <c r="E217" i="2" s="1"/>
  <c r="E196" i="2" a="1"/>
  <c r="E196" i="2" s="1"/>
  <c r="E183" i="2" a="1"/>
  <c r="E183" i="2" s="1"/>
  <c r="E218" i="2" a="1"/>
  <c r="E218" i="2" s="1"/>
  <c r="E125" i="2" a="1"/>
  <c r="E125" i="2" s="1"/>
  <c r="E102" i="2" a="1"/>
  <c r="E102" i="2" s="1"/>
  <c r="E157" i="2" a="1"/>
  <c r="E157" i="2" s="1"/>
  <c r="E188" i="2" a="1"/>
  <c r="E188" i="2" s="1"/>
  <c r="E135" i="2" a="1"/>
  <c r="E135" i="2" s="1"/>
  <c r="E233" i="2" a="1"/>
  <c r="E233" i="2" s="1"/>
  <c r="E197" i="2" a="1"/>
  <c r="E197" i="2" s="1"/>
  <c r="E97" i="2" a="1"/>
  <c r="E97" i="2" s="1"/>
  <c r="E214" i="2" a="1"/>
  <c r="E214" i="2" s="1"/>
  <c r="E75" i="2" a="1"/>
  <c r="E75" i="2" s="1"/>
  <c r="E58" i="2" a="1"/>
  <c r="E58" i="2" s="1"/>
  <c r="E3" i="2" a="1"/>
  <c r="E3" i="2" s="1"/>
  <c r="E132" i="2" a="1"/>
  <c r="E132" i="2" s="1"/>
  <c r="E145" i="2" a="1"/>
  <c r="E145" i="2" s="1"/>
  <c r="E201" i="2" a="1"/>
  <c r="E201" i="2" s="1"/>
  <c r="E160" i="2" a="1"/>
  <c r="E160" i="2" s="1"/>
  <c r="E123" i="2" a="1"/>
  <c r="E123" i="2" s="1"/>
  <c r="E208" i="2" a="1"/>
  <c r="E208" i="2" s="1"/>
  <c r="E223" i="2" a="1"/>
  <c r="E223" i="2" s="1"/>
  <c r="E108" i="2" a="1"/>
  <c r="E108" i="2" s="1"/>
  <c r="E224" i="2" a="1"/>
  <c r="E224" i="2" s="1"/>
  <c r="E74" i="2" a="1"/>
  <c r="E74" i="2" s="1"/>
  <c r="E189" i="2" a="1"/>
  <c r="E189" i="2" s="1"/>
  <c r="E236" i="2" a="1"/>
  <c r="E236" i="2" s="1"/>
  <c r="E248" i="2" a="1"/>
  <c r="E248" i="2" s="1"/>
  <c r="E33" i="2" a="1"/>
  <c r="E33" i="2" s="1"/>
  <c r="E30" i="2" a="1"/>
  <c r="E30" i="2" s="1"/>
  <c r="E202" i="2" a="1"/>
  <c r="E202" i="2" s="1"/>
  <c r="E225" i="2" a="1"/>
  <c r="E225" i="2" s="1"/>
  <c r="E247" i="2" a="1"/>
  <c r="E247" i="2" s="1"/>
  <c r="E41" i="2" a="1"/>
  <c r="E41" i="2" s="1"/>
  <c r="E137" i="2" a="1"/>
  <c r="E137" i="2" s="1"/>
  <c r="E62" i="2" a="1"/>
  <c r="E62" i="2" s="1"/>
  <c r="E35" i="2" a="1"/>
  <c r="E35" i="2" s="1"/>
  <c r="E195" i="2" a="1"/>
  <c r="E195" i="2" s="1"/>
  <c r="E143" i="2" a="1"/>
  <c r="E143" i="2" s="1"/>
  <c r="E238" i="2" a="1"/>
  <c r="E238" i="2" s="1"/>
  <c r="E52" i="2" a="1"/>
  <c r="E52" i="2" s="1"/>
  <c r="E82" i="2" a="1"/>
  <c r="E82" i="2" s="1"/>
  <c r="E5" i="2" a="1"/>
  <c r="E5" i="2" s="1"/>
  <c r="E76" i="2" a="1"/>
  <c r="E76" i="2" s="1"/>
  <c r="E172" i="2" a="1"/>
  <c r="E172" i="2" s="1"/>
  <c r="E249" i="2" a="1"/>
  <c r="E249" i="2" s="1"/>
  <c r="E8" i="2" a="1"/>
  <c r="E8" i="2" s="1"/>
  <c r="E66" i="2" a="1"/>
  <c r="E66" i="2" s="1"/>
  <c r="E209" i="2" a="1"/>
  <c r="E209" i="2" s="1"/>
  <c r="E176" i="2" a="1"/>
  <c r="E176" i="2" s="1"/>
  <c r="E98" i="2" a="1"/>
  <c r="E98" i="2" s="1"/>
  <c r="E122" i="2" a="1"/>
  <c r="E122" i="2" s="1"/>
  <c r="E4" i="2" a="1"/>
  <c r="E4" i="2" s="1"/>
  <c r="E184" i="2" a="1"/>
  <c r="E184" i="2" s="1"/>
  <c r="E142" i="2" a="1"/>
  <c r="E142" i="2" s="1"/>
  <c r="E117" i="2" a="1"/>
  <c r="E117" i="2" s="1"/>
  <c r="E147" i="2" a="1"/>
  <c r="E147" i="2" s="1"/>
  <c r="E205" i="2" a="1"/>
  <c r="E205" i="2" s="1"/>
  <c r="E179" i="2" a="1"/>
  <c r="E179" i="2" s="1"/>
  <c r="E213" i="2" a="1"/>
  <c r="E213" i="2" s="1"/>
  <c r="E227" i="2" a="1"/>
  <c r="E227" i="2" s="1"/>
  <c r="E148" i="2" a="1"/>
  <c r="E148" i="2" s="1"/>
  <c r="E221" i="2" a="1"/>
  <c r="E221" i="2" s="1"/>
  <c r="E89" i="2" a="1"/>
  <c r="E89" i="2" s="1"/>
  <c r="E127" i="2" a="1"/>
  <c r="E127" i="2" s="1"/>
  <c r="E203" i="2" a="1"/>
  <c r="E203" i="2" s="1"/>
  <c r="E87" i="2" a="1"/>
  <c r="E87" i="2" s="1"/>
  <c r="E6" i="2" a="1"/>
  <c r="E6" i="2" s="1"/>
  <c r="E17" i="2" a="1"/>
  <c r="E17" i="2" s="1"/>
  <c r="E81" i="2" a="1"/>
  <c r="E81" i="2" s="1"/>
  <c r="E16" i="2" a="1"/>
  <c r="E16" i="2" s="1"/>
  <c r="E9" i="2" a="1"/>
  <c r="E9" i="2" s="1"/>
  <c r="E140" i="2" a="1"/>
  <c r="E140" i="2" s="1"/>
  <c r="E65" i="2" a="1"/>
  <c r="E65" i="2" s="1"/>
  <c r="E187" i="2" a="1"/>
  <c r="E187" i="2" s="1"/>
  <c r="E204" i="2" a="1"/>
  <c r="E204" i="2" s="1"/>
  <c r="E134" i="2" a="1"/>
  <c r="E134" i="2" s="1"/>
  <c r="E109" i="2" a="1"/>
  <c r="E109" i="2" s="1"/>
  <c r="E103" i="2" a="1"/>
  <c r="E103" i="2" s="1"/>
  <c r="E90" i="2" a="1"/>
  <c r="E90" i="2" s="1"/>
  <c r="E237" i="2" a="1"/>
  <c r="E237" i="2" s="1"/>
  <c r="E101" i="2" a="1"/>
  <c r="E101" i="2" s="1"/>
  <c r="E169" i="2" a="1"/>
  <c r="E169" i="2" s="1"/>
  <c r="E64" i="2" a="1"/>
  <c r="E64" i="2" s="1"/>
  <c r="E11" i="2" a="1"/>
  <c r="E11" i="2" s="1"/>
  <c r="E114" i="2" a="1"/>
  <c r="E114" i="2" s="1"/>
  <c r="E107" i="2" a="1"/>
  <c r="E107" i="2" s="1"/>
  <c r="E119" i="2" a="1"/>
  <c r="E119" i="2" s="1"/>
  <c r="E43" i="2" a="1"/>
  <c r="E43" i="2" s="1"/>
  <c r="E199" i="2" a="1"/>
  <c r="E199" i="2" s="1"/>
  <c r="E231" i="2" a="1"/>
  <c r="E231" i="2" s="1"/>
  <c r="E78" i="2" a="1"/>
  <c r="E78" i="2" s="1"/>
  <c r="E226" i="2" a="1"/>
  <c r="E226" i="2" s="1"/>
  <c r="E44" i="2" a="1"/>
  <c r="E44" i="2" s="1"/>
  <c r="E251" i="2" a="1"/>
  <c r="E251" i="2" s="1"/>
  <c r="E12" i="2" a="1"/>
  <c r="E12" i="2" s="1"/>
  <c r="E241" i="2" a="1"/>
  <c r="E241" i="2" s="1"/>
  <c r="E129" i="2" a="1"/>
  <c r="E129" i="2" s="1"/>
  <c r="E88" i="2" a="1"/>
  <c r="E88" i="2" s="1"/>
  <c r="E131" i="2" a="1"/>
  <c r="E131" i="2" s="1"/>
  <c r="E105" i="2" a="1"/>
  <c r="E105" i="2" s="1"/>
  <c r="E36" i="2" a="1"/>
  <c r="E36" i="2" s="1"/>
  <c r="E154" i="2" a="1"/>
  <c r="E154" i="2" s="1"/>
  <c r="E170" i="2" a="1"/>
  <c r="E170" i="2" s="1"/>
  <c r="E138" i="2" a="1"/>
  <c r="E138" i="2" s="1"/>
  <c r="E68" i="2" a="1"/>
  <c r="E68" i="2" s="1"/>
  <c r="E100" i="2" a="1"/>
  <c r="E100" i="2" s="1"/>
  <c r="E15" i="2" a="1"/>
  <c r="E15" i="2" s="1"/>
  <c r="E151" i="2" a="1"/>
  <c r="E151" i="2" s="1"/>
  <c r="E234" i="2" a="1"/>
  <c r="E234" i="2" s="1"/>
  <c r="E210" i="2" a="1"/>
  <c r="E210" i="2" s="1"/>
  <c r="E79" i="2" a="1"/>
  <c r="E79" i="2" s="1"/>
  <c r="E211" i="2" a="1"/>
  <c r="E211" i="2" s="1"/>
  <c r="E156" i="2" a="1"/>
  <c r="E156" i="2" s="1"/>
  <c r="E191" i="2" a="1"/>
  <c r="E191" i="2" s="1"/>
  <c r="E59" i="2" a="1"/>
  <c r="E59" i="2" s="1"/>
  <c r="E239" i="2" a="1"/>
  <c r="E239" i="2" s="1"/>
  <c r="F27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<sst xmlns="http://schemas.openxmlformats.org/spreadsheetml/2006/main" count="1876" uniqueCount="694">
  <si>
    <t>Nome</t>
  </si>
  <si>
    <t>Cognome</t>
  </si>
  <si>
    <t>Età</t>
  </si>
  <si>
    <t>Titolo di Studio</t>
  </si>
  <si>
    <t>Indirizzo</t>
  </si>
  <si>
    <t>Professione in Azienda</t>
  </si>
  <si>
    <t>Umberto</t>
  </si>
  <si>
    <t>Micca</t>
  </si>
  <si>
    <t>Laurea magistrale</t>
  </si>
  <si>
    <t>Rotonda Ivo, 1 Appartamento 35, 00023, Arsoli (RM)</t>
  </si>
  <si>
    <t>Impiegato amministrativo</t>
  </si>
  <si>
    <t>Emilio</t>
  </si>
  <si>
    <t>Moccia</t>
  </si>
  <si>
    <t>Laurea triennale</t>
  </si>
  <si>
    <t>Vicolo Ferragni, 1 Appartamento 72, 07038, Trinita' D'Agultu E Vignola (SS)</t>
  </si>
  <si>
    <t>Responsabile vendite</t>
  </si>
  <si>
    <t>Beatrice</t>
  </si>
  <si>
    <t>Lerner</t>
  </si>
  <si>
    <t>Master</t>
  </si>
  <si>
    <t>Via Giulia, 3, 17033, Casanova Lerrone (SV)</t>
  </si>
  <si>
    <t>Operaio specializzato</t>
  </si>
  <si>
    <t>Damiano</t>
  </si>
  <si>
    <t>Marazzi</t>
  </si>
  <si>
    <t>Borgo Norbiato, 75, 35045, Ospedaletto Euganeo (PD)</t>
  </si>
  <si>
    <t>Analista dati</t>
  </si>
  <si>
    <t>Paride</t>
  </si>
  <si>
    <t>Pepe</t>
  </si>
  <si>
    <t>Diploma di scuola superiore</t>
  </si>
  <si>
    <t>Vicolo Elmo, 89 Appartamento 68, 30131, Venezia (VE)</t>
  </si>
  <si>
    <t>Baccio</t>
  </si>
  <si>
    <t>Gabbana</t>
  </si>
  <si>
    <t>Incrocio Sinisi, 91 Appartamento 82, 95029, Viagrande (CT)</t>
  </si>
  <si>
    <t>Fiorenzo</t>
  </si>
  <si>
    <t>Gangemi</t>
  </si>
  <si>
    <t>Canale Ziani, 86 Piano 5, 35014, Fontaniva (PD)</t>
  </si>
  <si>
    <t>Direttore risorse umane</t>
  </si>
  <si>
    <t>Vincenzo</t>
  </si>
  <si>
    <t>Filippelli</t>
  </si>
  <si>
    <t>Rotonda Renata, 6 Piano 3, 84084, Fisciano (SA)</t>
  </si>
  <si>
    <t>Project Manager</t>
  </si>
  <si>
    <t>Dante</t>
  </si>
  <si>
    <t>Vivaldi</t>
  </si>
  <si>
    <t>Dottorato di ricerca</t>
  </si>
  <si>
    <t>Canale Adelmo, 0 Appartamento 10, 35026, Conselve (PD)</t>
  </si>
  <si>
    <t>Lara</t>
  </si>
  <si>
    <t>Respighi</t>
  </si>
  <si>
    <t>Incrocio Villadicani, 58, 40013, Progresso (BO)</t>
  </si>
  <si>
    <t>Tecnico informatico</t>
  </si>
  <si>
    <t>Annetta</t>
  </si>
  <si>
    <t>Einaudi</t>
  </si>
  <si>
    <t>Piazza Donatella, 67, 25052, Pian Di Borno (BS)</t>
  </si>
  <si>
    <t>Melina</t>
  </si>
  <si>
    <t>Basso</t>
  </si>
  <si>
    <t>Via Calcedonio, 45 Appartamento 76, 32010, Soverzene (BL)</t>
  </si>
  <si>
    <t>Eva</t>
  </si>
  <si>
    <t>Scotto</t>
  </si>
  <si>
    <t>Piazza Guarino, 126, 17031, Albenga (SV)</t>
  </si>
  <si>
    <t>Antonello</t>
  </si>
  <si>
    <t>Giammusso</t>
  </si>
  <si>
    <t>Contrada Ruggiero, 72, 37019, San Benedetto Di Lugana (VR)</t>
  </si>
  <si>
    <t>Serena</t>
  </si>
  <si>
    <t>Bonino</t>
  </si>
  <si>
    <t>Viale Laureano, 90 Piano 7, 19028, Varese Ligure (SP)</t>
  </si>
  <si>
    <t>Tonino</t>
  </si>
  <si>
    <t>Bompiani</t>
  </si>
  <si>
    <t>Piazza Trevisani, 26 Appartamento 5, 65024, Manoppello (PE)</t>
  </si>
  <si>
    <t>Michele</t>
  </si>
  <si>
    <t>Contarini</t>
  </si>
  <si>
    <t>Via Chigi, 25, 38057, Vigalzano (TN)</t>
  </si>
  <si>
    <t>Alfredo</t>
  </si>
  <si>
    <t>Gabrieli</t>
  </si>
  <si>
    <t>Borgo Dibiasi, 6 Appartamento 9, 80041, Marchesa (NA)</t>
  </si>
  <si>
    <t>Liliana</t>
  </si>
  <si>
    <t>Stucchi</t>
  </si>
  <si>
    <t>Stretto Arnaldo, 427 Piano 6, 71036, Palmori (FG)</t>
  </si>
  <si>
    <t>Micheletto</t>
  </si>
  <si>
    <t>Bonolis</t>
  </si>
  <si>
    <t>Incrocio Nino, 810, 25047, Darfo (BS)</t>
  </si>
  <si>
    <t>Allegra</t>
  </si>
  <si>
    <t>Guidone</t>
  </si>
  <si>
    <t>Rotonda Ottone, 0 Appartamento 17, 09073, Torre Del Pozzo (OR)</t>
  </si>
  <si>
    <t>Maria</t>
  </si>
  <si>
    <t>Cesaroni</t>
  </si>
  <si>
    <t>Vicolo Amedeo, 2 Appartamento 3, 20135, Milano (MI)</t>
  </si>
  <si>
    <t>Mariana</t>
  </si>
  <si>
    <t>Detti</t>
  </si>
  <si>
    <t>Borgo Toso, 69, 40057, Quarto Inferiore (BO)</t>
  </si>
  <si>
    <t>Rembrandt</t>
  </si>
  <si>
    <t>Rotonda Martucci, 9, 70028, Sannicandro Di Bari (BA)</t>
  </si>
  <si>
    <t>Gian</t>
  </si>
  <si>
    <t>Vento</t>
  </si>
  <si>
    <t>Incrocio Ennio, 74, 01012, Vico Matrino (VT)</t>
  </si>
  <si>
    <t>Annamaria</t>
  </si>
  <si>
    <t>Burcardo</t>
  </si>
  <si>
    <t>Viale Forza, 598 Appartamento 8, 84017, Montepertuso (SA)</t>
  </si>
  <si>
    <t>Greco</t>
  </si>
  <si>
    <t>Ferrara</t>
  </si>
  <si>
    <t>Borgo Bajardi, 98, 89844, Motta Filocastro (VV)</t>
  </si>
  <si>
    <t>Tonia</t>
  </si>
  <si>
    <t>Pisani</t>
  </si>
  <si>
    <t>Stretto Clelia, 35 Piano 2, 87056, Santo Stefano Di Rogliano (CS)</t>
  </si>
  <si>
    <t>Monica</t>
  </si>
  <si>
    <t>Bodoni</t>
  </si>
  <si>
    <t>Viale Matilda, 648, 40022, Moraduccio Di Valsalva (BO)</t>
  </si>
  <si>
    <t>Torquato</t>
  </si>
  <si>
    <t>Santorio</t>
  </si>
  <si>
    <t>Piazza Aporti, 667 Appartamento 5, 10056, Oulx (TO)</t>
  </si>
  <si>
    <t>Gianluigi</t>
  </si>
  <si>
    <t>Martucci</t>
  </si>
  <si>
    <t>Contrada Garibaldi, 566 Piano 4, 42022, Boretto (RE)</t>
  </si>
  <si>
    <t>Addetto logistica</t>
  </si>
  <si>
    <t>Pierluigi</t>
  </si>
  <si>
    <t>Delle</t>
  </si>
  <si>
    <t>Strada Annibale, 2 Piano 0, 63854, Santa Vittoria In Matenano (FM)</t>
  </si>
  <si>
    <t>Osvaldo</t>
  </si>
  <si>
    <t>Fantini</t>
  </si>
  <si>
    <t>Strada Valerio, 33, 62010, Stazione Morrovalle (MC)</t>
  </si>
  <si>
    <t>Marketing Specialist</t>
  </si>
  <si>
    <t>Paolo</t>
  </si>
  <si>
    <t>Tamburi</t>
  </si>
  <si>
    <t>Viale Diana, 92 Piano 3, 60125, Ancona (AN)</t>
  </si>
  <si>
    <t>Sebastiano</t>
  </si>
  <si>
    <t>Bombieri</t>
  </si>
  <si>
    <t>Vicolo Fabio, 8 Appartamento 6, 84024, Contursi Terme (SA)</t>
  </si>
  <si>
    <t>Federico</t>
  </si>
  <si>
    <t>Lopresti</t>
  </si>
  <si>
    <t>Vicolo Pausini, 7 Piano 6, 06016, San Giustino (PG)</t>
  </si>
  <si>
    <t>Contabile</t>
  </si>
  <si>
    <t>Giulia</t>
  </si>
  <si>
    <t>Cilea</t>
  </si>
  <si>
    <t>Strada Martinelli, 8 Appartamento 52, 42021, Bibbiano (RE)</t>
  </si>
  <si>
    <t>Tina</t>
  </si>
  <si>
    <t>Iannotti</t>
  </si>
  <si>
    <t>Vicolo Paoletta, 24 Piano 1, 70016, Parchitello (BA)</t>
  </si>
  <si>
    <t>Enrico</t>
  </si>
  <si>
    <t>Pellico</t>
  </si>
  <si>
    <t>Strada Burcardo, 897 Piano 8, 36030, Zugliano (VI)</t>
  </si>
  <si>
    <t>Dina</t>
  </si>
  <si>
    <t>Moresi</t>
  </si>
  <si>
    <t>Borgo Giulia, 87, 95124, Catania (CT)</t>
  </si>
  <si>
    <t>Milena</t>
  </si>
  <si>
    <t>Petrocelli</t>
  </si>
  <si>
    <t>Borgo Broggini, 5, 20020, Robecchetto Con Induno (MI)</t>
  </si>
  <si>
    <t>Eraldo</t>
  </si>
  <si>
    <t>Stretto Finetti, 442, 16010, Crocefieschi (GE)</t>
  </si>
  <si>
    <t>Gianna</t>
  </si>
  <si>
    <t>Miniati</t>
  </si>
  <si>
    <t>Canale Fantoni, 73, 05034, Ferentillo (TR)</t>
  </si>
  <si>
    <t>Rosaria</t>
  </si>
  <si>
    <t>Coardi</t>
  </si>
  <si>
    <t>Contrada Pierpaolo, 51 Piano 1, 43039, Congelasio (PR)</t>
  </si>
  <si>
    <t>Domenico</t>
  </si>
  <si>
    <t>Contrada Raffaellino, 5 Piano 3, 81022, Casagiove (CE)</t>
  </si>
  <si>
    <t>Amato</t>
  </si>
  <si>
    <t>Incrocio Elvira, 41, 58044, Monticello Amiata (GR)</t>
  </si>
  <si>
    <t>Calogero</t>
  </si>
  <si>
    <t>Monduzzi</t>
  </si>
  <si>
    <t>Canale Zanzi, 8 Piano 5, 00143, Roma (RM)</t>
  </si>
  <si>
    <t>Vasari</t>
  </si>
  <si>
    <t>Borgo Gianni, 8 Appartamento 6, 84040, Casal Velino (SA)</t>
  </si>
  <si>
    <t>Annibale</t>
  </si>
  <si>
    <t>Rossi</t>
  </si>
  <si>
    <t>Strada Alonzi, 98, 87055, San Giovanni In Fiore (CS)</t>
  </si>
  <si>
    <t>Giacomo</t>
  </si>
  <si>
    <t>Modugno</t>
  </si>
  <si>
    <t>Viale Renault, 75, 10094, Selvaggio (TO)</t>
  </si>
  <si>
    <t>Campano</t>
  </si>
  <si>
    <t>Stretto Scandone, 4 Appartamento 5, 91021, Tre Fontane (TP)</t>
  </si>
  <si>
    <t>Ivo</t>
  </si>
  <si>
    <t>Alfieri</t>
  </si>
  <si>
    <t>Piazza Giosuè, 23 Piano 7, 03040, Ausonia (FR)</t>
  </si>
  <si>
    <t>Leonardo</t>
  </si>
  <si>
    <t>Maccanelli</t>
  </si>
  <si>
    <t>Borgo Vincenzo, 0 Appartamento 3, 10139, Torino (TO)</t>
  </si>
  <si>
    <t>Donatella</t>
  </si>
  <si>
    <t>Proietti</t>
  </si>
  <si>
    <t>Vicolo Ninetta, 332, 12078, Ponte Di Nava (CN)</t>
  </si>
  <si>
    <t>Zaira</t>
  </si>
  <si>
    <t>Viviani</t>
  </si>
  <si>
    <t>Canale Hugo, 33, 28922, Verbania (VB)</t>
  </si>
  <si>
    <t>Offredi</t>
  </si>
  <si>
    <t>Rotonda Coluccio, 78, 55032, Palleroso (LU)</t>
  </si>
  <si>
    <t>Malaparte</t>
  </si>
  <si>
    <t>Stretto Gagliano, 3, 47922, Rimini (RN)</t>
  </si>
  <si>
    <t>Melania</t>
  </si>
  <si>
    <t>Fiorucci</t>
  </si>
  <si>
    <t>Vicolo Saverio, 9 Appartamento 48, 10156, Torino (TO)</t>
  </si>
  <si>
    <t>Giuliano</t>
  </si>
  <si>
    <t>Cheda</t>
  </si>
  <si>
    <t>Vicolo Scalfaro, 45, 64047, Pietracamela (TE)</t>
  </si>
  <si>
    <t>Giacobbe</t>
  </si>
  <si>
    <t>Sbarbaro</t>
  </si>
  <si>
    <t>Canale Ugo, 98 Piano 3, 58026, Montieri (GR)</t>
  </si>
  <si>
    <t>Camilla</t>
  </si>
  <si>
    <t>Zaccardo</t>
  </si>
  <si>
    <t>Contrada Emma, 51, 16139, Genova (GE)</t>
  </si>
  <si>
    <t>Victoria</t>
  </si>
  <si>
    <t>Scialpi</t>
  </si>
  <si>
    <t>Incrocio Baldassare, 7, 14018, Villafranca D'Asti (AT)</t>
  </si>
  <si>
    <t>Lando</t>
  </si>
  <si>
    <t>Tozzo</t>
  </si>
  <si>
    <t>Via Maura, 5 Appartamento 72, 23019, Traona (SO)</t>
  </si>
  <si>
    <t>Paulina</t>
  </si>
  <si>
    <t>Matteotti</t>
  </si>
  <si>
    <t>Incrocio Sandro, 9 Piano 8, 13037, Bornate Sesia (VC)</t>
  </si>
  <si>
    <t>Salvatore</t>
  </si>
  <si>
    <t>Ramazzotti</t>
  </si>
  <si>
    <t>Via Gradenigo, 38 Appartamento 26, 70026, Modugno (BA)</t>
  </si>
  <si>
    <t>Giorgia</t>
  </si>
  <si>
    <t>Agostini</t>
  </si>
  <si>
    <t>Via Massimiliano, 2 Piano 5, 56029, Santa Croce Sull'Arno (PI)</t>
  </si>
  <si>
    <t>Ennio</t>
  </si>
  <si>
    <t>Palombi</t>
  </si>
  <si>
    <t>Incrocio Enzio, 7, 35131, Padova (PD)</t>
  </si>
  <si>
    <t>Nadia</t>
  </si>
  <si>
    <t>Trebbi</t>
  </si>
  <si>
    <t>Vicolo Clelia, 42 Piano 1, 60038, San Paolo Di Jesi (AN)</t>
  </si>
  <si>
    <t>Arturo</t>
  </si>
  <si>
    <t>Rotonda Aporti, 149 Piano 1, 28041, Dagnente (NO)</t>
  </si>
  <si>
    <t>Giuseppina</t>
  </si>
  <si>
    <t>Antonini</t>
  </si>
  <si>
    <t>Vicolo Baldassare, 379 Appartamento 45, 15011, Acqui Terme (AL)</t>
  </si>
  <si>
    <t>Carolina</t>
  </si>
  <si>
    <t>Impastato</t>
  </si>
  <si>
    <t>Stretto Pisacane, 447, 48012, Abbatesse (RA)</t>
  </si>
  <si>
    <t>Salvo</t>
  </si>
  <si>
    <t>Canale Carpaccio, 155, 35041, Battaglia Terme (PD)</t>
  </si>
  <si>
    <t>Rocco</t>
  </si>
  <si>
    <t>Lombardi</t>
  </si>
  <si>
    <t>Piazza Federico, 12, 53043, Chiusi Scalo (SI)</t>
  </si>
  <si>
    <t>Jacopo</t>
  </si>
  <si>
    <t>Verri</t>
  </si>
  <si>
    <t>Stretto Buonauro, 577, 27031, Candia Lomellina (PV)</t>
  </si>
  <si>
    <t>Santi</t>
  </si>
  <si>
    <t>Piazza Sgalambro, 20 Piano 5, 54010, Podenzana (MS)</t>
  </si>
  <si>
    <t>Rocca</t>
  </si>
  <si>
    <t>Piazza Daria, 89 Appartamento 78, 26853, Caselle Lurani (LO)</t>
  </si>
  <si>
    <t>Romiti</t>
  </si>
  <si>
    <t>Borgo Mancini, 70 Piano 8, 40013, Progresso (BO)</t>
  </si>
  <si>
    <t>Bazzi</t>
  </si>
  <si>
    <t>Piazza Galuppi, 37 Piano 9, 10127, Torino (TO)</t>
  </si>
  <si>
    <t>Costantino</t>
  </si>
  <si>
    <t>Berengario</t>
  </si>
  <si>
    <t>Incrocio Melina, 31 Appartamento 93, 45033, Bosaro (RO)</t>
  </si>
  <si>
    <t>Olga</t>
  </si>
  <si>
    <t>Depero</t>
  </si>
  <si>
    <t>Borgo Pina, 81, 64042, Ornano Grande (TE)</t>
  </si>
  <si>
    <t>Adelmo</t>
  </si>
  <si>
    <t>Anichini</t>
  </si>
  <si>
    <t>Borgo Sylvia, 760, 80041, Boscoreale (NA)</t>
  </si>
  <si>
    <t>Mariano</t>
  </si>
  <si>
    <t>Abate</t>
  </si>
  <si>
    <t>Viale Saraceno, 52, 86019, Vinchiaturo (CB)</t>
  </si>
  <si>
    <t>Diana</t>
  </si>
  <si>
    <t>Scarpa</t>
  </si>
  <si>
    <t>Viale Juvara, 49, 04018, Colli Di Suso (LT)</t>
  </si>
  <si>
    <t>Matilda</t>
  </si>
  <si>
    <t>Bajamonti</t>
  </si>
  <si>
    <t>Stretto Beatrice, 70, 28895, Forno Di Omegna (VB)</t>
  </si>
  <si>
    <t>Amadeo</t>
  </si>
  <si>
    <t>Pastine</t>
  </si>
  <si>
    <t>Rotonda Endrizzi, 10, 19139, Laspezia (SP)</t>
  </si>
  <si>
    <t>Sante</t>
  </si>
  <si>
    <t>Alfonsi</t>
  </si>
  <si>
    <t>Contrada Achille, 5 Piano 2, 86027, San Massimo (CB)</t>
  </si>
  <si>
    <t>Concetta</t>
  </si>
  <si>
    <t>Mazzacurati</t>
  </si>
  <si>
    <t>Viale Piero, 70 Appartamento 6, 70028, Sannicandro Di Bari (BA)</t>
  </si>
  <si>
    <t>Giulio</t>
  </si>
  <si>
    <t>Iadanza</t>
  </si>
  <si>
    <t>Stretto Amalia, 2 Piano 1, 20035, Villa Cortese (MI)</t>
  </si>
  <si>
    <t>Rodolfo</t>
  </si>
  <si>
    <t>Omma</t>
  </si>
  <si>
    <t>Contrada Roero, 49 Piano 7, 75011, Accettura (MT)</t>
  </si>
  <si>
    <t>Ida</t>
  </si>
  <si>
    <t>Via Giancarlo, 3 Appartamento 66, 16032, Camogli (GE)</t>
  </si>
  <si>
    <t>Fernanda</t>
  </si>
  <si>
    <t>Petrucelli</t>
  </si>
  <si>
    <t>Canale Pizzo, 3, 67019, Vigliano (AQ)</t>
  </si>
  <si>
    <t>Fiamma</t>
  </si>
  <si>
    <t>Branciforte</t>
  </si>
  <si>
    <t>Via Mazzini, 4, 64034, Appignano (TE)</t>
  </si>
  <si>
    <t>Antonino</t>
  </si>
  <si>
    <t>Casagrande</t>
  </si>
  <si>
    <t>Canale Aldobrandi, 39, 43019, Soragna (PR)</t>
  </si>
  <si>
    <t>Guglielmo</t>
  </si>
  <si>
    <t>Virgilio</t>
  </si>
  <si>
    <t>Borgo Tiziana, 528, 63833, Piane Di Montegiorgio (FM)</t>
  </si>
  <si>
    <t>Anastasi</t>
  </si>
  <si>
    <t>Viale Arsenio, 841, 84039, Teggiano (SA)</t>
  </si>
  <si>
    <t>Graziella</t>
  </si>
  <si>
    <t>Necci</t>
  </si>
  <si>
    <t>Rotonda Bandello, 88 Piano 7, 45015, Corbola (RO)</t>
  </si>
  <si>
    <t>Maura</t>
  </si>
  <si>
    <t>Cicilia</t>
  </si>
  <si>
    <t>Borgo Clelia, 90, 57016, Castiglioncello (LI)</t>
  </si>
  <si>
    <t>Giovanna</t>
  </si>
  <si>
    <t>Gargallo</t>
  </si>
  <si>
    <t>Incrocio Maglio, 30 Piano 9, 04100, Fogliano (LT)</t>
  </si>
  <si>
    <t>Luigi</t>
  </si>
  <si>
    <t>Bramante</t>
  </si>
  <si>
    <t>Canale Barozzi, 8, 25036, Palazzolo Sull'Oglio (BS)</t>
  </si>
  <si>
    <t>Pasquale</t>
  </si>
  <si>
    <t>Gussoni</t>
  </si>
  <si>
    <t>Incrocio Galtarossa, 3 Appartamento 12, 53025, Saragiolo (SI)</t>
  </si>
  <si>
    <t>Bernardo</t>
  </si>
  <si>
    <t>Nitto</t>
  </si>
  <si>
    <t>Strada Carmelo, 10 Appartamento 99, 89868, Daffina' (VV)</t>
  </si>
  <si>
    <t>Venancio</t>
  </si>
  <si>
    <t>Dallapé</t>
  </si>
  <si>
    <t>Viale Ezio, 16, 20133, Milano (MI)</t>
  </si>
  <si>
    <t>Dionigi</t>
  </si>
  <si>
    <t>Sandi</t>
  </si>
  <si>
    <t>Strada Bernardo, 89, 16138, Genova (GE)</t>
  </si>
  <si>
    <t>Atenulf</t>
  </si>
  <si>
    <t>Pizzo</t>
  </si>
  <si>
    <t>Borgo Monica, 534 Appartamento 48, 98071, Piana Di Capo D'Orlando (ME)</t>
  </si>
  <si>
    <t>Paoletta</t>
  </si>
  <si>
    <t>Giannini</t>
  </si>
  <si>
    <t>Vicolo Rossini, 89, 85053, Montemurro (PZ)</t>
  </si>
  <si>
    <t>Camilleri</t>
  </si>
  <si>
    <t>Strada Zoppetti, 126 Appartamento 44, 95011, Pasteria (CT)</t>
  </si>
  <si>
    <t>Enzio</t>
  </si>
  <si>
    <t>Staglieno</t>
  </si>
  <si>
    <t>Viale Melissa, 32, 85040, Castelluccio Inferiore (PZ)</t>
  </si>
  <si>
    <t>Giada</t>
  </si>
  <si>
    <t>Paruta</t>
  </si>
  <si>
    <t>Strada Vincenzo, 40 Piano 0, 73042, Casarano (LE)</t>
  </si>
  <si>
    <t>Amico</t>
  </si>
  <si>
    <t>Saffi</t>
  </si>
  <si>
    <t>Rotonda Stefano, 23 Appartamento 13, 09134, Pirri (CA)</t>
  </si>
  <si>
    <t>Cundari</t>
  </si>
  <si>
    <t>Contrada Stefanelli, 2 Piano 1, 35044, Montagnana (PD)</t>
  </si>
  <si>
    <t>Carla</t>
  </si>
  <si>
    <t>Travaglio</t>
  </si>
  <si>
    <t>Contrada Angelo, 90, 55040, Ruosina (LU)</t>
  </si>
  <si>
    <t>Enzo</t>
  </si>
  <si>
    <t>Zito</t>
  </si>
  <si>
    <t>Contrada Bruno, 97, 41014, Levizzano Rangone (MO)</t>
  </si>
  <si>
    <t>Ermenegildo</t>
  </si>
  <si>
    <t>Pacillo</t>
  </si>
  <si>
    <t>Incrocio Aulenti, 7, 81035, Marzano Appio (CE)</t>
  </si>
  <si>
    <t>Donato</t>
  </si>
  <si>
    <t>Riccardi</t>
  </si>
  <si>
    <t>Piazza Bonomo, 47 Piano 2, 30126, Vianelli (VE)</t>
  </si>
  <si>
    <t>Niccolò</t>
  </si>
  <si>
    <t>Navone</t>
  </si>
  <si>
    <t>Rotonda Basso, 81, 40062, San Martino In Argine (BO)</t>
  </si>
  <si>
    <t>Lucio</t>
  </si>
  <si>
    <t>Duodo</t>
  </si>
  <si>
    <t>Rotonda Benvenuto, 6, 46049, Volta Mantovana (MN)</t>
  </si>
  <si>
    <t>Bellucci</t>
  </si>
  <si>
    <t>Vicolo Lauretta, 17, 65017, Penne (PE)</t>
  </si>
  <si>
    <t>Ricciotti</t>
  </si>
  <si>
    <t>Vicolo Zaguri, 9 Piano 7, 12015, Limone Piemonte (CN)</t>
  </si>
  <si>
    <t>Mauro</t>
  </si>
  <si>
    <t>Luria</t>
  </si>
  <si>
    <t>Contrada Angelina, 56, 25100, Brescia (BS)</t>
  </si>
  <si>
    <t>Mattia</t>
  </si>
  <si>
    <t>Tosi</t>
  </si>
  <si>
    <t>Canale Rossetti, 14, 82013, Bonea (BN)</t>
  </si>
  <si>
    <t>Dario</t>
  </si>
  <si>
    <t>Andreotti</t>
  </si>
  <si>
    <t>Vicolo Sraffa, 24, 15026, Carentino (AL)</t>
  </si>
  <si>
    <t>Bianca</t>
  </si>
  <si>
    <t>Salieri</t>
  </si>
  <si>
    <t>Via Giannetti, 57 Appartamento 9, 25074, Crone (BS)</t>
  </si>
  <si>
    <t>Marcantonio</t>
  </si>
  <si>
    <t>Fornaciari</t>
  </si>
  <si>
    <t>Incrocio Silvia, 34, 31036, Sala (TV)</t>
  </si>
  <si>
    <t>Berenice</t>
  </si>
  <si>
    <t>Cianciolo</t>
  </si>
  <si>
    <t>Via Atenulf, 76 Piano 2, 41037, Gavello (MO)</t>
  </si>
  <si>
    <t>Azeglio</t>
  </si>
  <si>
    <t>Vicolo Argentero, 63, 24044, Sforzatica (BG)</t>
  </si>
  <si>
    <t>Morricone</t>
  </si>
  <si>
    <t>Contrada Boccioni, 9, 40121, Bologna (BO)</t>
  </si>
  <si>
    <t>Piergiuseppe</t>
  </si>
  <si>
    <t>Ferrabosco</t>
  </si>
  <si>
    <t>Vicolo Greco, 36, 74020, Monteiasi (TA)</t>
  </si>
  <si>
    <t>Borgo Balla, 14, 82027, Pontelandolfo (BN)</t>
  </si>
  <si>
    <t>Bonomo</t>
  </si>
  <si>
    <t>Borgo Annibale, 4 Appartamento 2, 17017, Millesimo (SV)</t>
  </si>
  <si>
    <t>Dolores</t>
  </si>
  <si>
    <t>Incrocio Maria, 0 Piano 6, 09170, Torre Grande (OR)</t>
  </si>
  <si>
    <t>Lucia</t>
  </si>
  <si>
    <t>Giannetti</t>
  </si>
  <si>
    <t>Stretto Vitturi, 79 Appartamento 59, 10045, Piossasco (TO)</t>
  </si>
  <si>
    <t>Teresa</t>
  </si>
  <si>
    <t>Visintini</t>
  </si>
  <si>
    <t>Canale Beatrice, 39 Appartamento 0, 89039, Plati' (RC)</t>
  </si>
  <si>
    <t>Ciro</t>
  </si>
  <si>
    <t>Nordio</t>
  </si>
  <si>
    <t>Piazza Baldassare, 67 Appartamento 3, 28060, Castellazzo Novarese (NO)</t>
  </si>
  <si>
    <t>Rotonda Barbarigo, 42 Piano 8, 13818, Tollegno (BI)</t>
  </si>
  <si>
    <t>Pompeo</t>
  </si>
  <si>
    <t>Flaiano</t>
  </si>
  <si>
    <t>Canale Terragni, 8, 32040, Costalta (BL)</t>
  </si>
  <si>
    <t>Nibali</t>
  </si>
  <si>
    <t>Piazza Missoni, 0, 22014, Dongo (CO)</t>
  </si>
  <si>
    <t>Salvi</t>
  </si>
  <si>
    <t>Cicala</t>
  </si>
  <si>
    <t>Borgo Gabba, 176 Piano 0, 13895, Muzzano (BI)</t>
  </si>
  <si>
    <t>Borgo Ferrucci, 488, 92028, Naro (AG)</t>
  </si>
  <si>
    <t>Gioffre</t>
  </si>
  <si>
    <t>Rubbia</t>
  </si>
  <si>
    <t>Contrada Giorgia, 4, 36057, Torri D'Arcugnano (VI)</t>
  </si>
  <si>
    <t>Marina</t>
  </si>
  <si>
    <t>Viale Raimondi, 825 Appartamento 3, 37042, Caldierino (VR)</t>
  </si>
  <si>
    <t>Pasqual</t>
  </si>
  <si>
    <t>Ceravolo</t>
  </si>
  <si>
    <t>Piazza Irma, 48, 13875, Ponderano (BI)</t>
  </si>
  <si>
    <t>Lidia</t>
  </si>
  <si>
    <t>Sagnelli</t>
  </si>
  <si>
    <t>Canale Morena, 4 Appartamento 6, 12087, Valcasotto (CN)</t>
  </si>
  <si>
    <t>Rotonda Dario, 1 Appartamento 9, 55039, Sillano (LU)</t>
  </si>
  <si>
    <t>Puccio</t>
  </si>
  <si>
    <t>Marini</t>
  </si>
  <si>
    <t>Piazza Fiorino, 99, 14054, Olmo Di Castagnole Lanze (AT)</t>
  </si>
  <si>
    <t>Pacomio</t>
  </si>
  <si>
    <t>Canale Casalodi, 2 Piano 2, 95030, Maniace (CT)</t>
  </si>
  <si>
    <t>Ruggiero</t>
  </si>
  <si>
    <t>Zichichi</t>
  </si>
  <si>
    <t>Stretto Elvira, 4, 90029, Valledolmo (PA)</t>
  </si>
  <si>
    <t>Ermanno</t>
  </si>
  <si>
    <t>Casadei</t>
  </si>
  <si>
    <t>Piazza Romina, 452, 25045, Castegnato (BS)</t>
  </si>
  <si>
    <t>Mastandrea</t>
  </si>
  <si>
    <t>Borgo Luchino, 87, 23896, Bevera Di Sirtori (LC)</t>
  </si>
  <si>
    <t>Adriana</t>
  </si>
  <si>
    <t>Chindamo</t>
  </si>
  <si>
    <t>Strada Costanzo, 71 Appartamento 9, 84034, Padula Scalo (SA)</t>
  </si>
  <si>
    <t>Lazzaro</t>
  </si>
  <si>
    <t>Salgari</t>
  </si>
  <si>
    <t>Vicolo Gigli, 6, 30034, Mira Taglio (VE)</t>
  </si>
  <si>
    <t>Luisa</t>
  </si>
  <si>
    <t>Palazzo</t>
  </si>
  <si>
    <t>Incrocio Miniati, 8 Piano 2, 67064, Pereto (AQ)</t>
  </si>
  <si>
    <t>Stretto Perozzo, 42, 37127, Avesa (VR)</t>
  </si>
  <si>
    <t>Matteo</t>
  </si>
  <si>
    <t>Rotonda Gulotta, 866 Appartamento 2, 53047, Sarteano (SI)</t>
  </si>
  <si>
    <t>Isabella</t>
  </si>
  <si>
    <t>Manolesso</t>
  </si>
  <si>
    <t>Contrada Cusano, 84 Piano 5, 04018, Sezze (LT)</t>
  </si>
  <si>
    <t>Bova</t>
  </si>
  <si>
    <t>Stretto Renier, 1 Piano 0, 85057, Tramutola (PZ)</t>
  </si>
  <si>
    <t>Camicione</t>
  </si>
  <si>
    <t>Stretto Mercedes, 10 Appartamento 2, 09044, Quartucciu (CA)</t>
  </si>
  <si>
    <t>Girolamo</t>
  </si>
  <si>
    <t>Giolitti</t>
  </si>
  <si>
    <t>Vicolo Gaetano, 99, 80143, Napoli (NA)</t>
  </si>
  <si>
    <t>Calarco</t>
  </si>
  <si>
    <t>Viale Mario, 950, 20019, Settimo Milanese (MI)</t>
  </si>
  <si>
    <t>Gianinazzi</t>
  </si>
  <si>
    <t>Viale Veltroni, 35, 83026, Banzano Di Montoro Superiore (AV)</t>
  </si>
  <si>
    <t>Tanzini</t>
  </si>
  <si>
    <t>Stretto Sokolov, 7 Piano 1, 98154, Salice Calabro (ME)</t>
  </si>
  <si>
    <t>Tullio</t>
  </si>
  <si>
    <t>Zola</t>
  </si>
  <si>
    <t>Contrada Orazio, 18 Piano 9, 89812, Pizzo Marina (VV)</t>
  </si>
  <si>
    <t>Vittoria</t>
  </si>
  <si>
    <t>Schicchi</t>
  </si>
  <si>
    <t>Borgo Margherita, 63, 47014, Vitignano (FC)</t>
  </si>
  <si>
    <t>Biagio</t>
  </si>
  <si>
    <t>Canetta</t>
  </si>
  <si>
    <t>Borgo Satta, 57, 41014, Levizzano Rangone (MO)</t>
  </si>
  <si>
    <t>Bresciani</t>
  </si>
  <si>
    <t>Contrada Fernanda, 86 Appartamento 8, 95128, Catania (CT)</t>
  </si>
  <si>
    <t>Carducci</t>
  </si>
  <si>
    <t>Borgo Stefanelli, 82, 04027, Le Forna (LT)</t>
  </si>
  <si>
    <t>Bandello</t>
  </si>
  <si>
    <t>Viale Tomasini, 61 Piano 7, 87029, Scalea (CS)</t>
  </si>
  <si>
    <t>Piccio</t>
  </si>
  <si>
    <t>Via Pasolini, 3 Piano 0, 89069, Chorio (RC)</t>
  </si>
  <si>
    <t>Chiara</t>
  </si>
  <si>
    <t>Dossetti</t>
  </si>
  <si>
    <t>Contrada Alessandra, 20, 92010, Alessandria Della Rocca (AG)</t>
  </si>
  <si>
    <t>Livia</t>
  </si>
  <si>
    <t>Tomaselli</t>
  </si>
  <si>
    <t>Vicolo Guarino, 616, 42048, Rubiera (RE)</t>
  </si>
  <si>
    <t>Donatello</t>
  </si>
  <si>
    <t>Renzi</t>
  </si>
  <si>
    <t>Viale Geronimo, 53 Appartamento 17, 28866, Premia (VB)</t>
  </si>
  <si>
    <t>Pulci</t>
  </si>
  <si>
    <t>Vicolo Vanvitelli, 37, 98135, Santa Margherita (ME)</t>
  </si>
  <si>
    <t>Crespi</t>
  </si>
  <si>
    <t>Stretto Gemma, 773, 10074, Lanzo Torinese (TO)</t>
  </si>
  <si>
    <t>Ludovica</t>
  </si>
  <si>
    <t>Casini</t>
  </si>
  <si>
    <t>Strada Vento, 243 Appartamento 6, 35136, Padova (PD)</t>
  </si>
  <si>
    <t>Ugo</t>
  </si>
  <si>
    <t>Zaccagnini</t>
  </si>
  <si>
    <t>Stretto Russo, 86 Appartamento 22, 28078, Romagnano Sesia (NO)</t>
  </si>
  <si>
    <t>Dino</t>
  </si>
  <si>
    <t>Fracci</t>
  </si>
  <si>
    <t>Vicolo Morlacchi, 70, 85011, Acerenza (PZ)</t>
  </si>
  <si>
    <t>Fabrizia</t>
  </si>
  <si>
    <t>Caetani</t>
  </si>
  <si>
    <t>Via Concetta, 20, 62034, Muccia (MC)</t>
  </si>
  <si>
    <t>Agnolo</t>
  </si>
  <si>
    <t>Ferrari</t>
  </si>
  <si>
    <t>Canale Gioachino, 15 Appartamento 15, 80143, Napoli (NA)</t>
  </si>
  <si>
    <t>Varano</t>
  </si>
  <si>
    <t>Strada Romano, 59, 55062, Ruota (LU)</t>
  </si>
  <si>
    <t>Scotti</t>
  </si>
  <si>
    <t>Borgo Lolita, 62, 15013, Borgoratto Alessandrino (AL)</t>
  </si>
  <si>
    <t>Jovinelli</t>
  </si>
  <si>
    <t>Stretto Fiorino, 20, 10040, Caselette (TO)</t>
  </si>
  <si>
    <t>Vigliotti</t>
  </si>
  <si>
    <t>Vicolo Fabrizio, 54, 46036, Revere (MN)</t>
  </si>
  <si>
    <t>Elmo</t>
  </si>
  <si>
    <t>Baresi</t>
  </si>
  <si>
    <t>Rotonda Bruno, 489, 13848, Zumaglia (BI)</t>
  </si>
  <si>
    <t>Romeo</t>
  </si>
  <si>
    <t>Iannuzzi</t>
  </si>
  <si>
    <t>Incrocio Gioele, 0 Piano 7, 88062, Novalba (CZ)</t>
  </si>
  <si>
    <t>Lancisi</t>
  </si>
  <si>
    <t>Strada Alphons, 95 Piano 2, 38022, Bozzana (TN)</t>
  </si>
  <si>
    <t>Gianmarco</t>
  </si>
  <si>
    <t>Rossetti</t>
  </si>
  <si>
    <t>Via Sandra, 21 Piano 6, 81052, Pignataro Maggiore (CE)</t>
  </si>
  <si>
    <t>Imelda</t>
  </si>
  <si>
    <t>Tolentino</t>
  </si>
  <si>
    <t>Viale Bottaro, 62, 13047, Olcenengo (VC)</t>
  </si>
  <si>
    <t>Faranda</t>
  </si>
  <si>
    <t>Strada Scotti, 37 Appartamento 48, 09029, Tuili (SU)</t>
  </si>
  <si>
    <t>Tarantini</t>
  </si>
  <si>
    <t>Stretto Iannelli, 312 Appartamento 28, 63842, Monsampietro Morico (FM)</t>
  </si>
  <si>
    <t>Lucrezia</t>
  </si>
  <si>
    <t>Viale Nino, 12 Appartamento 39, 06051, Ripabianca (PG)</t>
  </si>
  <si>
    <t>Greca</t>
  </si>
  <si>
    <t>Aulenti</t>
  </si>
  <si>
    <t>Stretto Nicoletti, 499 Piano 3, 12056, Mango (CN)</t>
  </si>
  <si>
    <t>Contrada Alonzi, 221 Appartamento 54, 32038, Quero Vas (BL)</t>
  </si>
  <si>
    <t>Roberta</t>
  </si>
  <si>
    <t>Brunello</t>
  </si>
  <si>
    <t>Strada Cagnin, 8 Appartamento 6, 09015, Domusnovas (SU)</t>
  </si>
  <si>
    <t>Nino</t>
  </si>
  <si>
    <t>Battaglia</t>
  </si>
  <si>
    <t>Incrocio Proietti, 272, 36054, Montebello Vicentino (VI)</t>
  </si>
  <si>
    <t>Rossana</t>
  </si>
  <si>
    <t>Soderini</t>
  </si>
  <si>
    <t>Canale Mazzi, 76, 98057, Milazzo (ME)</t>
  </si>
  <si>
    <t>Stefano</t>
  </si>
  <si>
    <t>Incrocio Bassi, 2 Piano 6, 31022, Frescada (TV)</t>
  </si>
  <si>
    <t>Marcella</t>
  </si>
  <si>
    <t>Via Malpighi, 116, 05014, Pianlungo (TR)</t>
  </si>
  <si>
    <t>Serafina</t>
  </si>
  <si>
    <t>Pascarella</t>
  </si>
  <si>
    <t>Canale Ansaldo, 29 Piano 7, 27010, Valle Salimbene (PV)</t>
  </si>
  <si>
    <t>Francesca</t>
  </si>
  <si>
    <t>Rosselli</t>
  </si>
  <si>
    <t>Viale Romina, 95, 53049, Montefollonico (SI)</t>
  </si>
  <si>
    <t>Jolanda</t>
  </si>
  <si>
    <t>Giulietti</t>
  </si>
  <si>
    <t>Vicolo Cainero, 43 Piano 1, 21024, Biandronno (VA)</t>
  </si>
  <si>
    <t>Gelli</t>
  </si>
  <si>
    <t>Strada Angelica, 6, 20061, Carugate (MI)</t>
  </si>
  <si>
    <t>Fiorino</t>
  </si>
  <si>
    <t>Franscini</t>
  </si>
  <si>
    <t>Strada Carmelo, 25, 62014, Petriolo (MC)</t>
  </si>
  <si>
    <t>Agostino</t>
  </si>
  <si>
    <t>Polesel</t>
  </si>
  <si>
    <t>Piazza Basadonna, 62 Appartamento 2, 87016, Morano Calabro (CS)</t>
  </si>
  <si>
    <t>Annalisa</t>
  </si>
  <si>
    <t>Pietrangeli</t>
  </si>
  <si>
    <t>Piazza Fernanda, 821, 02020, Collegiove (RI)</t>
  </si>
  <si>
    <t>Borgo Liberto, 9, 24046, Osio Sotto (BG)</t>
  </si>
  <si>
    <t>Angelo</t>
  </si>
  <si>
    <t>Pavone</t>
  </si>
  <si>
    <t>Viale Ciani, 8 Appartamento 5, 14035, Grazzano Badoglio (AT)</t>
  </si>
  <si>
    <t>Alina</t>
  </si>
  <si>
    <t>Contrada Amedeo, 5, 40121, Bologna (BO)</t>
  </si>
  <si>
    <t>Tonisto</t>
  </si>
  <si>
    <t>Stretto Luciana, 9, 67031, Roccacinquemiglia (AQ)</t>
  </si>
  <si>
    <t>Elena</t>
  </si>
  <si>
    <t>Scalera</t>
  </si>
  <si>
    <t>Borgo Bruno, 59 Piano 8, 02024, Leofreni (RI)</t>
  </si>
  <si>
    <t>Petrassi</t>
  </si>
  <si>
    <t>Stretto Bembo, 777 Piano 2, 55038, San Romano In Garfagnana (LU)</t>
  </si>
  <si>
    <t>Rita</t>
  </si>
  <si>
    <t>Calbo</t>
  </si>
  <si>
    <t>Stretto Cassandra, 9 Piano 7, 88070, Botricello (CZ)</t>
  </si>
  <si>
    <t>Leopoldo</t>
  </si>
  <si>
    <t>Angiolello</t>
  </si>
  <si>
    <t>Stretto Gentili, 47, 20070, Villa Bissone (MI)</t>
  </si>
  <si>
    <t>Pacelli</t>
  </si>
  <si>
    <t>Incrocio Eliana, 9, 59015, Poggio Alla Malva (PO)</t>
  </si>
  <si>
    <t>Gionata</t>
  </si>
  <si>
    <t>Maderna</t>
  </si>
  <si>
    <t>Canale Mariana, 75, 37047, Locara (VR)</t>
  </si>
  <si>
    <t>Galasso</t>
  </si>
  <si>
    <t>Paltrinieri</t>
  </si>
  <si>
    <t>Canale Corradi, 7, 66020, Rocca San Giovanni (CH)</t>
  </si>
  <si>
    <t>Uberto</t>
  </si>
  <si>
    <t>Grimani</t>
  </si>
  <si>
    <t>Canale Chiara, 5 Appartamento 7, 34136, Trieste (TS)</t>
  </si>
  <si>
    <t>Gino</t>
  </si>
  <si>
    <t>Callegari</t>
  </si>
  <si>
    <t>Strada Marini, 81 Appartamento 30, 26048, Sospiro (CR)</t>
  </si>
  <si>
    <t>Melissa</t>
  </si>
  <si>
    <t>Alonzi</t>
  </si>
  <si>
    <t>Viale Anita, 19 Appartamento 91, 10136, Torino (TO)</t>
  </si>
  <si>
    <t>Durante</t>
  </si>
  <si>
    <t>Caironi</t>
  </si>
  <si>
    <t>Canale Fuseli, 273 Appartamento 70, 16167, Sant'Ilario Ligure (GE)</t>
  </si>
  <si>
    <t>Gagliano</t>
  </si>
  <si>
    <t>Piazza Filippini, 489, 00012, Guidonia (RM)</t>
  </si>
  <si>
    <t>Acerbi</t>
  </si>
  <si>
    <t>Stretto Orlando, 322 Appartamento 0, 07021, Cala Di Volpe (SS)</t>
  </si>
  <si>
    <t>Giovanni</t>
  </si>
  <si>
    <t>Trapani</t>
  </si>
  <si>
    <t>Stretto Condoleo, 613 Appartamento 3, 17039, Zuccarello (SV)</t>
  </si>
  <si>
    <t>Majorana</t>
  </si>
  <si>
    <t>Viale Lucchesi, 172, 20861, San Damiano (MB)</t>
  </si>
  <si>
    <t>Claudia</t>
  </si>
  <si>
    <t>Bertolucci</t>
  </si>
  <si>
    <t>Contrada Giulio, 5, 21052, Sacconago (VA)</t>
  </si>
  <si>
    <t>Taccola</t>
  </si>
  <si>
    <t>Viale Ludovica, 63, 98062, Ficarra (ME)</t>
  </si>
  <si>
    <t>Fo</t>
  </si>
  <si>
    <t>Strada Ferrante, 87, 98161, Messina (ME)</t>
  </si>
  <si>
    <t>Ermes</t>
  </si>
  <si>
    <t>Tomasini</t>
  </si>
  <si>
    <t>Strada Rienzo, 66 Piano 2, 25060, Pezzaze (BS)</t>
  </si>
  <si>
    <t>Stefania</t>
  </si>
  <si>
    <t>Cimini</t>
  </si>
  <si>
    <t>Borgo Ruggero, 118 Piano 7, 14022, Mondonio San Domenico Savio (AT)</t>
  </si>
  <si>
    <t>Claudio</t>
  </si>
  <si>
    <t>Foletti</t>
  </si>
  <si>
    <t>Canale Aurora, 9, 63813, Monte Urano (FM)</t>
  </si>
  <si>
    <t>Rotonda Manacorda, 75, 25133, Brescia (BS)</t>
  </si>
  <si>
    <t>Baggio</t>
  </si>
  <si>
    <t>Contrada Monica, 6, 42017, Santa Maria (RE)</t>
  </si>
  <si>
    <t>Veronica</t>
  </si>
  <si>
    <t>Garobbio</t>
  </si>
  <si>
    <t>Contrada Ricciotti, 61, 87027, Fosse (CS)</t>
  </si>
  <si>
    <t>Vicolo Fagiani, 686 Appartamento 2, 55025, Tereglio (LU)</t>
  </si>
  <si>
    <t>Flavia</t>
  </si>
  <si>
    <t>Blasi</t>
  </si>
  <si>
    <t>Borgo Piero, 8, 54029, Chiesa Di Rossano (MS)</t>
  </si>
  <si>
    <t>Laura</t>
  </si>
  <si>
    <t>Canil</t>
  </si>
  <si>
    <t>Borgo Segrè, 56, 22073, Fino Mornasco (CO)</t>
  </si>
  <si>
    <t>Giorgio</t>
  </si>
  <si>
    <t>Montesano</t>
  </si>
  <si>
    <t>Canale Stefano, 44 Piano 0, 85018, Trivigno (PZ)</t>
  </si>
  <si>
    <t>Bruno</t>
  </si>
  <si>
    <t>Mogherini</t>
  </si>
  <si>
    <t>Canale Caterina, 95 Appartamento 92, 38092, Grumes (TN)</t>
  </si>
  <si>
    <t>Viale Paride, 79, 89050, San Roberto (RC)</t>
  </si>
  <si>
    <t>Michela</t>
  </si>
  <si>
    <t>Polizzi</t>
  </si>
  <si>
    <t>Piazza Anastasi, 96, 52035, Monterchi (AR)</t>
  </si>
  <si>
    <t>Lodovico</t>
  </si>
  <si>
    <t>Serraglio</t>
  </si>
  <si>
    <t>Borgo Uberto, 82 Piano 4, 20831, Seregno (MB)</t>
  </si>
  <si>
    <t>Trentin</t>
  </si>
  <si>
    <t>Strada Marino, 1 Piano 6, 87057, Scigliano (CS)</t>
  </si>
  <si>
    <t>Galtarossa</t>
  </si>
  <si>
    <t>Stretto Magnani, 58, 46020, Villa Saviola (MN)</t>
  </si>
  <si>
    <t>Angelica</t>
  </si>
  <si>
    <t>Moneta</t>
  </si>
  <si>
    <t>Rotonda Vittoria, 0, 24048, Treviolo (BG)</t>
  </si>
  <si>
    <t>Missoni</t>
  </si>
  <si>
    <t>Incrocio Ritacca, 79, 89036, Brancaleone Marina (RC)</t>
  </si>
  <si>
    <t>Via Nino, 3, 74010, Statte (TA)</t>
  </si>
  <si>
    <t>Satta</t>
  </si>
  <si>
    <t>Canale Edoardo, 8, 43049, Pessola (PR)</t>
  </si>
  <si>
    <t>Ettore</t>
  </si>
  <si>
    <t>Lovato</t>
  </si>
  <si>
    <t>Vicolo Donna, 732 Appartamento 57, 28804, Bieno (VB)</t>
  </si>
  <si>
    <t>Romolo</t>
  </si>
  <si>
    <t>Mantegazza</t>
  </si>
  <si>
    <t>Vicolo Versace, 459, 17020, Testico (SV)</t>
  </si>
  <si>
    <t>Falloppio</t>
  </si>
  <si>
    <t>Rotonda Ettore, 32 Appartamento 16, 80014, Varcaturo (NA)</t>
  </si>
  <si>
    <t>Viale Giacobbe, 0, 39030, St. Vigil i. Enneberg (BZ)</t>
  </si>
  <si>
    <t>Porcellato</t>
  </si>
  <si>
    <t>Strada Vidoni, 50, 12049, Trinita' (CN)</t>
  </si>
  <si>
    <t>Professione</t>
  </si>
  <si>
    <t>Totale complessivo</t>
  </si>
  <si>
    <t>Titolo di studio</t>
  </si>
  <si>
    <t>Numero dipendenti</t>
  </si>
  <si>
    <t>Totale</t>
  </si>
  <si>
    <t>18-35</t>
  </si>
  <si>
    <t>35-60</t>
  </si>
  <si>
    <t>Over 60</t>
  </si>
  <si>
    <t xml:space="preserve">Fascia d'età </t>
  </si>
  <si>
    <t>Porfessione</t>
  </si>
  <si>
    <t xml:space="preserve">Laurea Triennale </t>
  </si>
  <si>
    <t>Laurea Magistrale</t>
  </si>
  <si>
    <t>Organigramma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</si>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</sst>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36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1" xfId="0" applyBorder="1" applyAlignment="1">
      <alignment horizontal="left" indent="1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0" fillId="6" borderId="1" xfId="0" applyFill="1" applyBorder="1"/>
    <xf numFmtId="0" fontId="3" fillId="3" borderId="1" xfId="0" applyFont="1" applyFill="1" applyBorder="1"/>
    <xf numFmtId="0" fontId="3" fillId="0" borderId="1" xfId="0" applyNumberFormat="1" applyFont="1" applyBorder="1"/>
    <xf numFmtId="0" fontId="3" fillId="4" borderId="1" xfId="0" applyFont="1" applyFill="1" applyBorder="1"/>
    <xf numFmtId="0" fontId="0" fillId="0" borderId="1" xfId="0" applyFill="1" applyBorder="1" applyAlignment="1">
      <alignment horizontal="left" indent="1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left" indent="1"/>
    </xf>
    <xf numFmtId="0" fontId="3" fillId="0" borderId="0" xfId="0" applyFont="1" applyFill="1" applyBorder="1" applyAlignment="1">
      <alignment horizontal="left"/>
    </xf>
    <xf numFmtId="0" fontId="3" fillId="0" borderId="0" xfId="0" applyNumberFormat="1" applyFont="1" applyFill="1" applyBorder="1"/>
    <xf numFmtId="0" fontId="0" fillId="0" borderId="0" xfId="0" applyNumberFormat="1" applyFill="1" applyBorder="1"/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5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</cellXfs>
  <cellStyles count="1">
    <cellStyle name="Normale" xfId="0" builtinId="0"/>
  </cellStyles>
  <dxfs count="2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[dipendenti.xlsx]Pivot e analisi!Tabella pivot10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Organigramma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e analisi'!$F$3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e analisi'!$E$4:$E$14</c:f>
              <c:strCache>
                <c:ptCount val="10"/>
                <c:pt idx="0">
                  <c:v>Addetto logistica</c:v>
                </c:pt>
                <c:pt idx="1">
                  <c:v>Analista dati</c:v>
                </c:pt>
                <c:pt idx="2">
                  <c:v>Contabile</c:v>
                </c:pt>
                <c:pt idx="3">
                  <c:v>Direttore risorse umane</c:v>
                </c:pt>
                <c:pt idx="4">
                  <c:v>Impiegato amministrativo</c:v>
                </c:pt>
                <c:pt idx="5">
                  <c:v>Marketing Specialist</c:v>
                </c:pt>
                <c:pt idx="6">
                  <c:v>Operaio specializzato</c:v>
                </c:pt>
                <c:pt idx="7">
                  <c:v>Project Manager</c:v>
                </c:pt>
                <c:pt idx="8">
                  <c:v>Responsabile vendite</c:v>
                </c:pt>
                <c:pt idx="9">
                  <c:v>Tecnico informatico</c:v>
                </c:pt>
              </c:strCache>
            </c:strRef>
          </c:cat>
          <c:val>
            <c:numRef>
              <c:f>'Pivot e analisi'!$F$4:$F$14</c:f>
              <c:numCache>
                <c:formatCode>General</c:formatCode>
                <c:ptCount val="10"/>
                <c:pt idx="0">
                  <c:v>22</c:v>
                </c:pt>
                <c:pt idx="1">
                  <c:v>21</c:v>
                </c:pt>
                <c:pt idx="2">
                  <c:v>18</c:v>
                </c:pt>
                <c:pt idx="3">
                  <c:v>24</c:v>
                </c:pt>
                <c:pt idx="4">
                  <c:v>23</c:v>
                </c:pt>
                <c:pt idx="5">
                  <c:v>27</c:v>
                </c:pt>
                <c:pt idx="6">
                  <c:v>29</c:v>
                </c:pt>
                <c:pt idx="7">
                  <c:v>28</c:v>
                </c:pt>
                <c:pt idx="8">
                  <c:v>33</c:v>
                </c:pt>
                <c:pt idx="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A-4B67-8D6B-C98576425B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6853040"/>
        <c:axId val="1506874160"/>
      </c:barChart>
      <c:catAx>
        <c:axId val="150685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6874160"/>
        <c:crosses val="autoZero"/>
        <c:auto val="1"/>
        <c:lblAlgn val="ctr"/>
        <c:lblOffset val="100"/>
        <c:noMultiLvlLbl val="0"/>
      </c:catAx>
      <c:valAx>
        <c:axId val="150687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685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Diploma di scuola superiore - </a:t>
            </a:r>
            <a:r>
              <a:rPr lang="it-IT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Percentuale %</a:t>
            </a:r>
            <a:endParaRPr lang="it-IT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74-4DE0-8132-8239E8CD94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74-4DE0-8132-8239E8CD94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74-4DE0-8132-8239E8CD94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774-4DE0-8132-8239E8CD94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774-4DE0-8132-8239E8CD94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774-4DE0-8132-8239E8CD94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774-4DE0-8132-8239E8CD94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774-4DE0-8132-8239E8CD94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774-4DE0-8132-8239E8CD94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774-4DE0-8132-8239E8CD94CE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e analisi'!$H$5:$H$14</c:f>
              <c:strCache>
                <c:ptCount val="10"/>
                <c:pt idx="0">
                  <c:v>Addetto logistica</c:v>
                </c:pt>
                <c:pt idx="1">
                  <c:v>Analista dati</c:v>
                </c:pt>
                <c:pt idx="2">
                  <c:v>Contabile</c:v>
                </c:pt>
                <c:pt idx="3">
                  <c:v>Direttore risorse umane</c:v>
                </c:pt>
                <c:pt idx="4">
                  <c:v>Impiegato amministrativo</c:v>
                </c:pt>
                <c:pt idx="5">
                  <c:v>Marketing Specialist</c:v>
                </c:pt>
                <c:pt idx="6">
                  <c:v>Operaio specializzato</c:v>
                </c:pt>
                <c:pt idx="7">
                  <c:v>Project Manager</c:v>
                </c:pt>
                <c:pt idx="8">
                  <c:v>Responsabile vendite</c:v>
                </c:pt>
                <c:pt idx="9">
                  <c:v>Tecnico informatico</c:v>
                </c:pt>
              </c:strCache>
            </c:strRef>
          </c:cat>
          <c:val>
            <c:numRef>
              <c:f>'Pivot e analisi'!$I$5:$I$14</c:f>
              <c:numCache>
                <c:formatCode>General</c:formatCode>
                <c:ptCount val="10"/>
                <c:pt idx="0">
                  <c:v>4</c:v>
                </c:pt>
                <c:pt idx="1">
                  <c:v>8</c:v>
                </c:pt>
                <c:pt idx="2">
                  <c:v>6</c:v>
                </c:pt>
                <c:pt idx="3">
                  <c:v>6</c:v>
                </c:pt>
                <c:pt idx="4">
                  <c:v>8</c:v>
                </c:pt>
                <c:pt idx="5">
                  <c:v>7</c:v>
                </c:pt>
                <c:pt idx="6">
                  <c:v>12</c:v>
                </c:pt>
                <c:pt idx="7">
                  <c:v>12</c:v>
                </c:pt>
                <c:pt idx="8">
                  <c:v>8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774-4DE0-8132-8239E8CD9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Diploma di scuola superiore - Professione - n Dipendenti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e analisi'!$H$5:$H$14</c:f>
              <c:strCache>
                <c:ptCount val="10"/>
                <c:pt idx="0">
                  <c:v>Addetto logistica</c:v>
                </c:pt>
                <c:pt idx="1">
                  <c:v>Analista dati</c:v>
                </c:pt>
                <c:pt idx="2">
                  <c:v>Contabile</c:v>
                </c:pt>
                <c:pt idx="3">
                  <c:v>Direttore risorse umane</c:v>
                </c:pt>
                <c:pt idx="4">
                  <c:v>Impiegato amministrativo</c:v>
                </c:pt>
                <c:pt idx="5">
                  <c:v>Marketing Specialist</c:v>
                </c:pt>
                <c:pt idx="6">
                  <c:v>Operaio specializzato</c:v>
                </c:pt>
                <c:pt idx="7">
                  <c:v>Project Manager</c:v>
                </c:pt>
                <c:pt idx="8">
                  <c:v>Responsabile vendite</c:v>
                </c:pt>
                <c:pt idx="9">
                  <c:v>Tecnico informatico</c:v>
                </c:pt>
              </c:strCache>
            </c:strRef>
          </c:cat>
          <c:val>
            <c:numRef>
              <c:f>'Pivot e analisi'!$I$5:$I$14</c:f>
              <c:numCache>
                <c:formatCode>General</c:formatCode>
                <c:ptCount val="10"/>
                <c:pt idx="0">
                  <c:v>4</c:v>
                </c:pt>
                <c:pt idx="1">
                  <c:v>8</c:v>
                </c:pt>
                <c:pt idx="2">
                  <c:v>6</c:v>
                </c:pt>
                <c:pt idx="3">
                  <c:v>6</c:v>
                </c:pt>
                <c:pt idx="4">
                  <c:v>8</c:v>
                </c:pt>
                <c:pt idx="5">
                  <c:v>7</c:v>
                </c:pt>
                <c:pt idx="6">
                  <c:v>12</c:v>
                </c:pt>
                <c:pt idx="7">
                  <c:v>12</c:v>
                </c:pt>
                <c:pt idx="8">
                  <c:v>8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6-4B33-88A7-5DADF73763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6883280"/>
        <c:axId val="1506880880"/>
      </c:barChart>
      <c:catAx>
        <c:axId val="150688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6880880"/>
        <c:crosses val="autoZero"/>
        <c:auto val="1"/>
        <c:lblAlgn val="ctr"/>
        <c:lblOffset val="100"/>
        <c:noMultiLvlLbl val="0"/>
      </c:catAx>
      <c:valAx>
        <c:axId val="150688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688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Laurea Triennale - Professione - n Dipendenti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e analisi'!$K$19:$K$28</c:f>
              <c:strCache>
                <c:ptCount val="10"/>
                <c:pt idx="0">
                  <c:v>Addetto logistica</c:v>
                </c:pt>
                <c:pt idx="1">
                  <c:v>Analista dati</c:v>
                </c:pt>
                <c:pt idx="2">
                  <c:v>Contabile</c:v>
                </c:pt>
                <c:pt idx="3">
                  <c:v>Direttore risorse umane</c:v>
                </c:pt>
                <c:pt idx="4">
                  <c:v>Impiegato amministrativo</c:v>
                </c:pt>
                <c:pt idx="5">
                  <c:v>Marketing Specialist</c:v>
                </c:pt>
                <c:pt idx="6">
                  <c:v>Operaio specializzato</c:v>
                </c:pt>
                <c:pt idx="7">
                  <c:v>Project Manager</c:v>
                </c:pt>
                <c:pt idx="8">
                  <c:v>Responsabile vendite</c:v>
                </c:pt>
                <c:pt idx="9">
                  <c:v>Tecnico informatico</c:v>
                </c:pt>
              </c:strCache>
            </c:strRef>
          </c:cat>
          <c:val>
            <c:numRef>
              <c:f>'Pivot e analisi'!$L$19:$L$28</c:f>
              <c:numCache>
                <c:formatCode>General</c:formatCode>
                <c:ptCount val="10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6</c:v>
                </c:pt>
                <c:pt idx="7">
                  <c:v>3</c:v>
                </c:pt>
                <c:pt idx="8">
                  <c:v>10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EE-42F1-88D5-C71945D15E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6890960"/>
        <c:axId val="1506881360"/>
      </c:barChart>
      <c:catAx>
        <c:axId val="150689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6881360"/>
        <c:crosses val="autoZero"/>
        <c:auto val="1"/>
        <c:lblAlgn val="ctr"/>
        <c:lblOffset val="100"/>
        <c:noMultiLvlLbl val="0"/>
      </c:catAx>
      <c:valAx>
        <c:axId val="150688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689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Laurea Triennale - Professione - Percentuale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17-4981-9A1F-9EF1CE3B70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17-4981-9A1F-9EF1CE3B70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717-4981-9A1F-9EF1CE3B709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717-4981-9A1F-9EF1CE3B709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717-4981-9A1F-9EF1CE3B709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717-4981-9A1F-9EF1CE3B709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717-4981-9A1F-9EF1CE3B709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717-4981-9A1F-9EF1CE3B709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717-4981-9A1F-9EF1CE3B709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717-4981-9A1F-9EF1CE3B7090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e analisi'!$K$19:$K$28</c:f>
              <c:strCache>
                <c:ptCount val="10"/>
                <c:pt idx="0">
                  <c:v>Addetto logistica</c:v>
                </c:pt>
                <c:pt idx="1">
                  <c:v>Analista dati</c:v>
                </c:pt>
                <c:pt idx="2">
                  <c:v>Contabile</c:v>
                </c:pt>
                <c:pt idx="3">
                  <c:v>Direttore risorse umane</c:v>
                </c:pt>
                <c:pt idx="4">
                  <c:v>Impiegato amministrativo</c:v>
                </c:pt>
                <c:pt idx="5">
                  <c:v>Marketing Specialist</c:v>
                </c:pt>
                <c:pt idx="6">
                  <c:v>Operaio specializzato</c:v>
                </c:pt>
                <c:pt idx="7">
                  <c:v>Project Manager</c:v>
                </c:pt>
                <c:pt idx="8">
                  <c:v>Responsabile vendite</c:v>
                </c:pt>
                <c:pt idx="9">
                  <c:v>Tecnico informatico</c:v>
                </c:pt>
              </c:strCache>
            </c:strRef>
          </c:cat>
          <c:val>
            <c:numRef>
              <c:f>'Pivot e analisi'!$L$19:$L$28</c:f>
              <c:numCache>
                <c:formatCode>General</c:formatCode>
                <c:ptCount val="10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6</c:v>
                </c:pt>
                <c:pt idx="7">
                  <c:v>3</c:v>
                </c:pt>
                <c:pt idx="8">
                  <c:v>10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717-4981-9A1F-9EF1CE3B7090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Laurea Magistrale - Professione - Percentuale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0C-4177-BEA7-B2652ECD29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0C-4177-BEA7-B2652ECD29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0C-4177-BEA7-B2652ECD29B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50C-4177-BEA7-B2652ECD29B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50C-4177-BEA7-B2652ECD29B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50C-4177-BEA7-B2652ECD29B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50C-4177-BEA7-B2652ECD29B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50C-4177-BEA7-B2652ECD29B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50C-4177-BEA7-B2652ECD29B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50C-4177-BEA7-B2652ECD29BB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e analisi'!$K$5:$K$14</c:f>
              <c:strCache>
                <c:ptCount val="10"/>
                <c:pt idx="0">
                  <c:v>Addetto logistica</c:v>
                </c:pt>
                <c:pt idx="1">
                  <c:v>Analista dati</c:v>
                </c:pt>
                <c:pt idx="2">
                  <c:v>Contabile</c:v>
                </c:pt>
                <c:pt idx="3">
                  <c:v>Direttore risorse umane</c:v>
                </c:pt>
                <c:pt idx="4">
                  <c:v>Impiegato amministrativo</c:v>
                </c:pt>
                <c:pt idx="5">
                  <c:v>Marketing Specialist</c:v>
                </c:pt>
                <c:pt idx="6">
                  <c:v>Operaio specializzato</c:v>
                </c:pt>
                <c:pt idx="7">
                  <c:v>Project Manager</c:v>
                </c:pt>
                <c:pt idx="8">
                  <c:v>Responsabile vendite</c:v>
                </c:pt>
                <c:pt idx="9">
                  <c:v>Tecnico informatico</c:v>
                </c:pt>
              </c:strCache>
            </c:strRef>
          </c:cat>
          <c:val>
            <c:numRef>
              <c:f>'Pivot e analisi'!$L$5:$L$14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1</c:v>
                </c:pt>
                <c:pt idx="8">
                  <c:v>4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50C-4177-BEA7-B2652ECD2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Laurea Magistrale - Professione - n Dipendenti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e analisi'!$K$5:$K$14</c:f>
              <c:strCache>
                <c:ptCount val="10"/>
                <c:pt idx="0">
                  <c:v>Addetto logistica</c:v>
                </c:pt>
                <c:pt idx="1">
                  <c:v>Analista dati</c:v>
                </c:pt>
                <c:pt idx="2">
                  <c:v>Contabile</c:v>
                </c:pt>
                <c:pt idx="3">
                  <c:v>Direttore risorse umane</c:v>
                </c:pt>
                <c:pt idx="4">
                  <c:v>Impiegato amministrativo</c:v>
                </c:pt>
                <c:pt idx="5">
                  <c:v>Marketing Specialist</c:v>
                </c:pt>
                <c:pt idx="6">
                  <c:v>Operaio specializzato</c:v>
                </c:pt>
                <c:pt idx="7">
                  <c:v>Project Manager</c:v>
                </c:pt>
                <c:pt idx="8">
                  <c:v>Responsabile vendite</c:v>
                </c:pt>
                <c:pt idx="9">
                  <c:v>Tecnico informatico</c:v>
                </c:pt>
              </c:strCache>
            </c:strRef>
          </c:cat>
          <c:val>
            <c:numRef>
              <c:f>'Pivot e analisi'!$L$5:$L$14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1</c:v>
                </c:pt>
                <c:pt idx="8">
                  <c:v>4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30-4288-977B-A93D4E4184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6893360"/>
        <c:axId val="1506894320"/>
      </c:barChart>
      <c:catAx>
        <c:axId val="150689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6894320"/>
        <c:crosses val="autoZero"/>
        <c:auto val="1"/>
        <c:lblAlgn val="ctr"/>
        <c:lblOffset val="100"/>
        <c:noMultiLvlLbl val="0"/>
      </c:catAx>
      <c:valAx>
        <c:axId val="150689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689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Master - Professione - n Dipendenti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e analisi'!$H$33:$H$42</c:f>
              <c:strCache>
                <c:ptCount val="10"/>
                <c:pt idx="0">
                  <c:v>Addetto logistica</c:v>
                </c:pt>
                <c:pt idx="1">
                  <c:v>Analista dati</c:v>
                </c:pt>
                <c:pt idx="2">
                  <c:v>Contabile</c:v>
                </c:pt>
                <c:pt idx="3">
                  <c:v>Direttore risorse umane</c:v>
                </c:pt>
                <c:pt idx="4">
                  <c:v>Impiegato amministrativo</c:v>
                </c:pt>
                <c:pt idx="5">
                  <c:v>Marketing Specialist</c:v>
                </c:pt>
                <c:pt idx="6">
                  <c:v>Operaio specializzato</c:v>
                </c:pt>
                <c:pt idx="7">
                  <c:v>Project Manager</c:v>
                </c:pt>
                <c:pt idx="8">
                  <c:v>Responsabile vendite</c:v>
                </c:pt>
                <c:pt idx="9">
                  <c:v>Tecnico informatico</c:v>
                </c:pt>
              </c:strCache>
            </c:strRef>
          </c:cat>
          <c:val>
            <c:numRef>
              <c:f>'Pivot e analisi'!$I$33:$I$42</c:f>
              <c:numCache>
                <c:formatCode>General</c:formatCode>
                <c:ptCount val="10"/>
                <c:pt idx="0">
                  <c:v>8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1-4DEF-A566-8A8B55370B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6899600"/>
        <c:axId val="1506904880"/>
      </c:barChart>
      <c:catAx>
        <c:axId val="150689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6904880"/>
        <c:crosses val="autoZero"/>
        <c:auto val="1"/>
        <c:lblAlgn val="ctr"/>
        <c:lblOffset val="100"/>
        <c:noMultiLvlLbl val="0"/>
      </c:catAx>
      <c:valAx>
        <c:axId val="150690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689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Master - Professione - Percentuale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4E-4461-9CA4-68D31F8DF1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4E-4461-9CA4-68D31F8DF1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64E-4461-9CA4-68D31F8DF1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64E-4461-9CA4-68D31F8DF1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64E-4461-9CA4-68D31F8DF12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64E-4461-9CA4-68D31F8DF12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64E-4461-9CA4-68D31F8DF12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64E-4461-9CA4-68D31F8DF12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64E-4461-9CA4-68D31F8DF12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64E-4461-9CA4-68D31F8DF12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e analisi'!$H$33:$H$42</c:f>
              <c:strCache>
                <c:ptCount val="10"/>
                <c:pt idx="0">
                  <c:v>Addetto logistica</c:v>
                </c:pt>
                <c:pt idx="1">
                  <c:v>Analista dati</c:v>
                </c:pt>
                <c:pt idx="2">
                  <c:v>Contabile</c:v>
                </c:pt>
                <c:pt idx="3">
                  <c:v>Direttore risorse umane</c:v>
                </c:pt>
                <c:pt idx="4">
                  <c:v>Impiegato amministrativo</c:v>
                </c:pt>
                <c:pt idx="5">
                  <c:v>Marketing Specialist</c:v>
                </c:pt>
                <c:pt idx="6">
                  <c:v>Operaio specializzato</c:v>
                </c:pt>
                <c:pt idx="7">
                  <c:v>Project Manager</c:v>
                </c:pt>
                <c:pt idx="8">
                  <c:v>Responsabile vendite</c:v>
                </c:pt>
                <c:pt idx="9">
                  <c:v>Tecnico informatico</c:v>
                </c:pt>
              </c:strCache>
            </c:strRef>
          </c:cat>
          <c:val>
            <c:numRef>
              <c:f>'Pivot e analisi'!$I$33:$I$42</c:f>
              <c:numCache>
                <c:formatCode>General</c:formatCode>
                <c:ptCount val="10"/>
                <c:pt idx="0">
                  <c:v>8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64E-4461-9CA4-68D31F8DF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Dottorato di ricerca- Professione - Percentuale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49-461F-91EE-5131FC2AC9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49-461F-91EE-5131FC2AC9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D49-461F-91EE-5131FC2AC9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D49-461F-91EE-5131FC2AC94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D49-461F-91EE-5131FC2AC94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D49-461F-91EE-5131FC2AC94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D49-461F-91EE-5131FC2AC94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D49-461F-91EE-5131FC2AC94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D49-461F-91EE-5131FC2AC94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D49-461F-91EE-5131FC2AC942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e analisi'!$H$19:$H$28</c:f>
              <c:strCache>
                <c:ptCount val="10"/>
                <c:pt idx="0">
                  <c:v>Addetto logistica</c:v>
                </c:pt>
                <c:pt idx="1">
                  <c:v>Analista dati</c:v>
                </c:pt>
                <c:pt idx="2">
                  <c:v>Contabile</c:v>
                </c:pt>
                <c:pt idx="3">
                  <c:v>Direttore risorse umane</c:v>
                </c:pt>
                <c:pt idx="4">
                  <c:v>Impiegato amministrativo</c:v>
                </c:pt>
                <c:pt idx="5">
                  <c:v>Marketing Specialist</c:v>
                </c:pt>
                <c:pt idx="6">
                  <c:v>Operaio specializzato</c:v>
                </c:pt>
                <c:pt idx="7">
                  <c:v>Project Manager</c:v>
                </c:pt>
                <c:pt idx="8">
                  <c:v>Responsabile vendite</c:v>
                </c:pt>
                <c:pt idx="9">
                  <c:v>Tecnico informatico</c:v>
                </c:pt>
              </c:strCache>
            </c:strRef>
          </c:cat>
          <c:val>
            <c:numRef>
              <c:f>'Pivot e analisi'!$I$19:$I$28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1</c:v>
                </c:pt>
                <c:pt idx="7">
                  <c:v>6</c:v>
                </c:pt>
                <c:pt idx="8">
                  <c:v>7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D49-461F-91EE-5131FC2AC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Dottorato di ricerca- Professione - n Dipendenti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e analisi'!$H$19:$H$28</c:f>
              <c:strCache>
                <c:ptCount val="10"/>
                <c:pt idx="0">
                  <c:v>Addetto logistica</c:v>
                </c:pt>
                <c:pt idx="1">
                  <c:v>Analista dati</c:v>
                </c:pt>
                <c:pt idx="2">
                  <c:v>Contabile</c:v>
                </c:pt>
                <c:pt idx="3">
                  <c:v>Direttore risorse umane</c:v>
                </c:pt>
                <c:pt idx="4">
                  <c:v>Impiegato amministrativo</c:v>
                </c:pt>
                <c:pt idx="5">
                  <c:v>Marketing Specialist</c:v>
                </c:pt>
                <c:pt idx="6">
                  <c:v>Operaio specializzato</c:v>
                </c:pt>
                <c:pt idx="7">
                  <c:v>Project Manager</c:v>
                </c:pt>
                <c:pt idx="8">
                  <c:v>Responsabile vendite</c:v>
                </c:pt>
                <c:pt idx="9">
                  <c:v>Tecnico informatico</c:v>
                </c:pt>
              </c:strCache>
            </c:strRef>
          </c:cat>
          <c:val>
            <c:numRef>
              <c:f>'Pivot e analisi'!$I$19:$I$28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1</c:v>
                </c:pt>
                <c:pt idx="7">
                  <c:v>6</c:v>
                </c:pt>
                <c:pt idx="8">
                  <c:v>7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6-426A-9FFC-72C3620BE9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6924080"/>
        <c:axId val="1506910160"/>
      </c:barChart>
      <c:catAx>
        <c:axId val="150692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6910160"/>
        <c:crosses val="autoZero"/>
        <c:auto val="1"/>
        <c:lblAlgn val="ctr"/>
        <c:lblOffset val="100"/>
        <c:noMultiLvlLbl val="0"/>
      </c:catAx>
      <c:valAx>
        <c:axId val="150691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692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Fascia d'età - n dipendenti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e analisi'!$F$25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e analisi'!$E$26:$E$28</c:f>
              <c:strCache>
                <c:ptCount val="3"/>
                <c:pt idx="0">
                  <c:v>18-35</c:v>
                </c:pt>
                <c:pt idx="1">
                  <c:v>35-60</c:v>
                </c:pt>
                <c:pt idx="2">
                  <c:v>Over 60</c:v>
                </c:pt>
              </c:strCache>
            </c:strRef>
          </c:cat>
          <c:val>
            <c:numRef>
              <c:f>'Pivot e analisi'!$F$26:$F$28</c:f>
              <c:numCache>
                <c:formatCode>General</c:formatCode>
                <c:ptCount val="3"/>
                <c:pt idx="0">
                  <c:v>155</c:v>
                </c:pt>
                <c:pt idx="1">
                  <c:v>64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FC-4E01-84F7-A906664D9D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6933680"/>
        <c:axId val="1506934160"/>
      </c:barChart>
      <c:catAx>
        <c:axId val="150693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6934160"/>
        <c:crosses val="autoZero"/>
        <c:auto val="1"/>
        <c:lblAlgn val="ctr"/>
        <c:lblOffset val="100"/>
        <c:noMultiLvlLbl val="0"/>
      </c:catAx>
      <c:valAx>
        <c:axId val="150693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693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Fascia d'età - % n dipendenti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e analisi'!$F$25</c:f>
              <c:strCache>
                <c:ptCount val="1"/>
                <c:pt idx="0">
                  <c:v>Totale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6E-4123-BADC-59BA129E21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6E-4123-BADC-59BA129E21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6E-4123-BADC-59BA129E216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e analisi'!$E$26:$E$28</c:f>
              <c:strCache>
                <c:ptCount val="3"/>
                <c:pt idx="0">
                  <c:v>18-35</c:v>
                </c:pt>
                <c:pt idx="1">
                  <c:v>35-60</c:v>
                </c:pt>
                <c:pt idx="2">
                  <c:v>Over 60</c:v>
                </c:pt>
              </c:strCache>
            </c:strRef>
          </c:cat>
          <c:val>
            <c:numRef>
              <c:f>'Pivot e analisi'!$F$26:$F$28</c:f>
              <c:numCache>
                <c:formatCode>General</c:formatCode>
                <c:ptCount val="3"/>
                <c:pt idx="0">
                  <c:v>155</c:v>
                </c:pt>
                <c:pt idx="1">
                  <c:v>64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6E-4123-BADC-59BA129E2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[dipendenti.xlsx]Pivot e analisi!Tabella pivot11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Titolo</a:t>
            </a:r>
            <a:r>
              <a:rPr lang="en-US" b="1" baseline="0"/>
              <a:t> di studio - n dipendenti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e analisi'!$F$16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e analisi'!$E$17:$E$22</c:f>
              <c:strCache>
                <c:ptCount val="5"/>
                <c:pt idx="0">
                  <c:v>Diploma di scuola superiore</c:v>
                </c:pt>
                <c:pt idx="1">
                  <c:v>Dottorato di ricerca</c:v>
                </c:pt>
                <c:pt idx="2">
                  <c:v>Laurea magistrale</c:v>
                </c:pt>
                <c:pt idx="3">
                  <c:v>Laurea triennale</c:v>
                </c:pt>
                <c:pt idx="4">
                  <c:v>Master</c:v>
                </c:pt>
              </c:strCache>
            </c:strRef>
          </c:cat>
          <c:val>
            <c:numRef>
              <c:f>'Pivot e analisi'!$F$17:$F$22</c:f>
              <c:numCache>
                <c:formatCode>General</c:formatCode>
                <c:ptCount val="5"/>
                <c:pt idx="0">
                  <c:v>78</c:v>
                </c:pt>
                <c:pt idx="1">
                  <c:v>44</c:v>
                </c:pt>
                <c:pt idx="2">
                  <c:v>37</c:v>
                </c:pt>
                <c:pt idx="3">
                  <c:v>39</c:v>
                </c:pt>
                <c:pt idx="4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A-4EBA-9D1E-0D3B9878C9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6933200"/>
        <c:axId val="1506935120"/>
      </c:barChart>
      <c:catAx>
        <c:axId val="150693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6935120"/>
        <c:crosses val="autoZero"/>
        <c:auto val="1"/>
        <c:lblAlgn val="ctr"/>
        <c:lblOffset val="100"/>
        <c:noMultiLvlLbl val="0"/>
      </c:catAx>
      <c:valAx>
        <c:axId val="150693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6933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[dipendenti.xlsx]Pivot e analisi!Tabella pivot11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Titolo di studio - % n dipendenti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e analisi'!$F$16</c:f>
              <c:strCache>
                <c:ptCount val="1"/>
                <c:pt idx="0">
                  <c:v>Totale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1B-4111-9CC8-DCCAC7DF43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1B-4111-9CC8-DCCAC7DF434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51B-4111-9CC8-DCCAC7DF434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51B-4111-9CC8-DCCAC7DF434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51B-4111-9CC8-DCCAC7DF4340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e analisi'!$E$17:$E$22</c:f>
              <c:strCache>
                <c:ptCount val="5"/>
                <c:pt idx="0">
                  <c:v>Diploma di scuola superiore</c:v>
                </c:pt>
                <c:pt idx="1">
                  <c:v>Dottorato di ricerca</c:v>
                </c:pt>
                <c:pt idx="2">
                  <c:v>Laurea magistrale</c:v>
                </c:pt>
                <c:pt idx="3">
                  <c:v>Laurea triennale</c:v>
                </c:pt>
                <c:pt idx="4">
                  <c:v>Master</c:v>
                </c:pt>
              </c:strCache>
            </c:strRef>
          </c:cat>
          <c:val>
            <c:numRef>
              <c:f>'Pivot e analisi'!$F$17:$F$22</c:f>
              <c:numCache>
                <c:formatCode>General</c:formatCode>
                <c:ptCount val="5"/>
                <c:pt idx="0">
                  <c:v>78</c:v>
                </c:pt>
                <c:pt idx="1">
                  <c:v>44</c:v>
                </c:pt>
                <c:pt idx="2">
                  <c:v>37</c:v>
                </c:pt>
                <c:pt idx="3">
                  <c:v>39</c:v>
                </c:pt>
                <c:pt idx="4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51B-4111-9CC8-DCCAC7DF4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11906</xdr:rowOff>
    </xdr:from>
    <xdr:to>
      <xdr:col>12</xdr:col>
      <xdr:colOff>571499</xdr:colOff>
      <xdr:row>26</xdr:row>
      <xdr:rowOff>142875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B8024784-0778-4C6D-B826-316F6FE2D8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603249</xdr:colOff>
      <xdr:row>3</xdr:row>
      <xdr:rowOff>10582</xdr:rowOff>
    </xdr:from>
    <xdr:to>
      <xdr:col>21</xdr:col>
      <xdr:colOff>444500</xdr:colOff>
      <xdr:row>28</xdr:row>
      <xdr:rowOff>158749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B228CCC1-40B6-4C44-9864-732B41AC55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476250</xdr:colOff>
      <xdr:row>3</xdr:row>
      <xdr:rowOff>7406</xdr:rowOff>
    </xdr:from>
    <xdr:to>
      <xdr:col>33</xdr:col>
      <xdr:colOff>603250</xdr:colOff>
      <xdr:row>28</xdr:row>
      <xdr:rowOff>158749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4D96EAA6-AE06-4FB9-88C4-7E677B7633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498738</xdr:colOff>
      <xdr:row>32</xdr:row>
      <xdr:rowOff>19843</xdr:rowOff>
    </xdr:from>
    <xdr:to>
      <xdr:col>34</xdr:col>
      <xdr:colOff>0</xdr:colOff>
      <xdr:row>57</xdr:row>
      <xdr:rowOff>79374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9BCB54AF-35B7-4AE5-AF93-C53A2164B5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3970</xdr:colOff>
      <xdr:row>32</xdr:row>
      <xdr:rowOff>19843</xdr:rowOff>
    </xdr:from>
    <xdr:to>
      <xdr:col>21</xdr:col>
      <xdr:colOff>451114</xdr:colOff>
      <xdr:row>57</xdr:row>
      <xdr:rowOff>79373</xdr:rowOff>
    </xdr:to>
    <xdr:graphicFrame macro="">
      <xdr:nvGraphicFramePr>
        <xdr:cNvPr id="14" name="Grafico 13">
          <a:extLst>
            <a:ext uri="{FF2B5EF4-FFF2-40B4-BE49-F238E27FC236}">
              <a16:creationId xmlns:a16="http://schemas.microsoft.com/office/drawing/2014/main" id="{28ECEB96-B357-4990-995E-4A3A8C412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23019</xdr:colOff>
      <xdr:row>3</xdr:row>
      <xdr:rowOff>16669</xdr:rowOff>
    </xdr:from>
    <xdr:to>
      <xdr:col>42</xdr:col>
      <xdr:colOff>439737</xdr:colOff>
      <xdr:row>28</xdr:row>
      <xdr:rowOff>154781</xdr:rowOff>
    </xdr:to>
    <xdr:graphicFrame macro="">
      <xdr:nvGraphicFramePr>
        <xdr:cNvPr id="15" name="Grafico 14">
          <a:extLst>
            <a:ext uri="{FF2B5EF4-FFF2-40B4-BE49-F238E27FC236}">
              <a16:creationId xmlns:a16="http://schemas.microsoft.com/office/drawing/2014/main" id="{62F82191-5C01-4AA1-8129-E0637E3CF3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42</xdr:col>
      <xdr:colOff>472279</xdr:colOff>
      <xdr:row>3</xdr:row>
      <xdr:rowOff>14287</xdr:rowOff>
    </xdr:from>
    <xdr:to>
      <xdr:col>54</xdr:col>
      <xdr:colOff>595312</xdr:colOff>
      <xdr:row>28</xdr:row>
      <xdr:rowOff>154781</xdr:rowOff>
    </xdr:to>
    <xdr:graphicFrame macro="">
      <xdr:nvGraphicFramePr>
        <xdr:cNvPr id="16" name="Grafico 15">
          <a:extLst>
            <a:ext uri="{FF2B5EF4-FFF2-40B4-BE49-F238E27FC236}">
              <a16:creationId xmlns:a16="http://schemas.microsoft.com/office/drawing/2014/main" id="{D40FC754-B928-45FA-A752-2CE0C8BF80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42</xdr:col>
      <xdr:colOff>503767</xdr:colOff>
      <xdr:row>32</xdr:row>
      <xdr:rowOff>31750</xdr:rowOff>
    </xdr:from>
    <xdr:to>
      <xdr:col>55</xdr:col>
      <xdr:colOff>0</xdr:colOff>
      <xdr:row>57</xdr:row>
      <xdr:rowOff>83344</xdr:rowOff>
    </xdr:to>
    <xdr:graphicFrame macro="">
      <xdr:nvGraphicFramePr>
        <xdr:cNvPr id="17" name="Grafico 16">
          <a:extLst>
            <a:ext uri="{FF2B5EF4-FFF2-40B4-BE49-F238E27FC236}">
              <a16:creationId xmlns:a16="http://schemas.microsoft.com/office/drawing/2014/main" id="{46A2CCA4-930C-42C3-B4C2-AE940B369F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34924</xdr:colOff>
      <xdr:row>32</xdr:row>
      <xdr:rowOff>22226</xdr:rowOff>
    </xdr:from>
    <xdr:to>
      <xdr:col>42</xdr:col>
      <xdr:colOff>467517</xdr:colOff>
      <xdr:row>57</xdr:row>
      <xdr:rowOff>83344</xdr:rowOff>
    </xdr:to>
    <xdr:graphicFrame macro="">
      <xdr:nvGraphicFramePr>
        <xdr:cNvPr id="18" name="Grafico 17">
          <a:extLst>
            <a:ext uri="{FF2B5EF4-FFF2-40B4-BE49-F238E27FC236}">
              <a16:creationId xmlns:a16="http://schemas.microsoft.com/office/drawing/2014/main" id="{9D186E2C-FE08-4156-B96C-4ACDF1C10F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55</xdr:col>
      <xdr:colOff>31750</xdr:colOff>
      <xdr:row>3</xdr:row>
      <xdr:rowOff>14173</xdr:rowOff>
    </xdr:from>
    <xdr:to>
      <xdr:col>63</xdr:col>
      <xdr:colOff>444500</xdr:colOff>
      <xdr:row>28</xdr:row>
      <xdr:rowOff>137205</xdr:rowOff>
    </xdr:to>
    <xdr:graphicFrame macro="">
      <xdr:nvGraphicFramePr>
        <xdr:cNvPr id="19" name="Grafico 18">
          <a:extLst>
            <a:ext uri="{FF2B5EF4-FFF2-40B4-BE49-F238E27FC236}">
              <a16:creationId xmlns:a16="http://schemas.microsoft.com/office/drawing/2014/main" id="{9287579A-6CCC-4634-84F2-AF35777083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63</xdr:col>
      <xdr:colOff>477610</xdr:colOff>
      <xdr:row>3</xdr:row>
      <xdr:rowOff>13606</xdr:rowOff>
    </xdr:from>
    <xdr:to>
      <xdr:col>75</xdr:col>
      <xdr:colOff>571500</xdr:colOff>
      <xdr:row>28</xdr:row>
      <xdr:rowOff>133349</xdr:rowOff>
    </xdr:to>
    <xdr:graphicFrame macro="">
      <xdr:nvGraphicFramePr>
        <xdr:cNvPr id="20" name="Grafico 19">
          <a:extLst>
            <a:ext uri="{FF2B5EF4-FFF2-40B4-BE49-F238E27FC236}">
              <a16:creationId xmlns:a16="http://schemas.microsoft.com/office/drawing/2014/main" id="{B5BF9909-5A6B-4ED1-B1DB-795772A1A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</xdr:colOff>
      <xdr:row>26</xdr:row>
      <xdr:rowOff>180975</xdr:rowOff>
    </xdr:from>
    <xdr:to>
      <xdr:col>5</xdr:col>
      <xdr:colOff>333375</xdr:colOff>
      <xdr:row>41</xdr:row>
      <xdr:rowOff>66675</xdr:rowOff>
    </xdr:to>
    <xdr:graphicFrame macro="">
      <xdr:nvGraphicFramePr>
        <xdr:cNvPr id="21" name="Grafico 20">
          <a:extLst>
            <a:ext uri="{FF2B5EF4-FFF2-40B4-BE49-F238E27FC236}">
              <a16:creationId xmlns:a16="http://schemas.microsoft.com/office/drawing/2014/main" id="{D10411AB-E515-4D68-8C3C-F881FA9E13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371475</xdr:colOff>
      <xdr:row>27</xdr:row>
      <xdr:rowOff>0</xdr:rowOff>
    </xdr:from>
    <xdr:to>
      <xdr:col>12</xdr:col>
      <xdr:colOff>571500</xdr:colOff>
      <xdr:row>41</xdr:row>
      <xdr:rowOff>76200</xdr:rowOff>
    </xdr:to>
    <xdr:graphicFrame macro="">
      <xdr:nvGraphicFramePr>
        <xdr:cNvPr id="23" name="Grafico 22">
          <a:extLst>
            <a:ext uri="{FF2B5EF4-FFF2-40B4-BE49-F238E27FC236}">
              <a16:creationId xmlns:a16="http://schemas.microsoft.com/office/drawing/2014/main" id="{EC9BCC87-097F-4B37-9E8B-20AB161930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41</xdr:row>
      <xdr:rowOff>114300</xdr:rowOff>
    </xdr:from>
    <xdr:to>
      <xdr:col>12</xdr:col>
      <xdr:colOff>561974</xdr:colOff>
      <xdr:row>56</xdr:row>
      <xdr:rowOff>0</xdr:rowOff>
    </xdr:to>
    <xdr:graphicFrame macro="">
      <xdr:nvGraphicFramePr>
        <xdr:cNvPr id="24" name="Grafico 23">
          <a:extLst>
            <a:ext uri="{FF2B5EF4-FFF2-40B4-BE49-F238E27FC236}">
              <a16:creationId xmlns:a16="http://schemas.microsoft.com/office/drawing/2014/main" id="{40181376-BA6D-4106-A717-80BF8A2EB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56</xdr:row>
      <xdr:rowOff>47625</xdr:rowOff>
    </xdr:from>
    <xdr:to>
      <xdr:col>12</xdr:col>
      <xdr:colOff>571500</xdr:colOff>
      <xdr:row>75</xdr:row>
      <xdr:rowOff>9525</xdr:rowOff>
    </xdr:to>
    <xdr:graphicFrame macro="">
      <xdr:nvGraphicFramePr>
        <xdr:cNvPr id="25" name="Grafico 24">
          <a:extLst>
            <a:ext uri="{FF2B5EF4-FFF2-40B4-BE49-F238E27FC236}">
              <a16:creationId xmlns:a16="http://schemas.microsoft.com/office/drawing/2014/main" id="{52F1AA11-F596-4E39-9140-B8B7F2F85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voro" refreshedDate="46191.475970949075" createdVersion="8" refreshedVersion="8" minRefreshableVersion="3" recordCount="250" xr:uid="{CB3CABE6-3F08-43A7-928D-F493C959C96B}">
  <cacheSource type="worksheet">
    <worksheetSource ref="A1:G251" sheet="Dati sistemati"/>
  </cacheSource>
  <cacheFields count="7">
    <cacheField name="Nome" numFmtId="0">
      <sharedItems/>
    </cacheField>
    <cacheField name="Cognome" numFmtId="0">
      <sharedItems/>
    </cacheField>
    <cacheField name="Età" numFmtId="0">
      <sharedItems containsSemiMixedTypes="0" containsString="0" containsNumber="1" containsInteger="1" minValue="20" maxValue="65"/>
    </cacheField>
    <cacheField name="Campo4" caption="Campo4" numFmtId="0">
      <sharedItems containsMixedTypes="1" containsNumber="1" containsInteger="1" minValue="20" maxValue="51"/>
    </cacheField>
    <cacheField name="Titolo di Studio" numFmtId="0">
      <sharedItems count="5">
        <s v="Laurea triennale"/>
        <s v="Dottorato di ricerca"/>
        <s v="Diploma di scuola superiore"/>
        <s v="Master"/>
        <s v="Laurea magistrale"/>
      </sharedItems>
    </cacheField>
    <cacheField name="Campo6" caption="Campo6" numFmtId="0">
      <sharedItems count="3">
        <e v="#N/A"/>
        <s v="Laurea triennale"/>
        <s v="Diploma di scuola superiore"/>
      </sharedItems>
    </cacheField>
    <cacheField name="Professione" numFmtId="0">
      <sharedItems count="10">
        <s v="Responsabile vendite"/>
        <s v="Tecnico informatico"/>
        <s v="Analista dati"/>
        <s v="Project Manager"/>
        <s v="Impiegato amministrativo"/>
        <s v="Direttore risorse umane"/>
        <s v="Marketing Specialist"/>
        <s v="Operaio specializzato"/>
        <s v="Contabile"/>
        <s v="Addetto logistic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voro" refreshedDate="46191.547122222219" createdVersion="8" refreshedVersion="8" minRefreshableVersion="3" recordCount="250" xr:uid="{E31FAF0E-13D6-4399-A5B8-0F2BD2688B6A}">
  <cacheSource type="worksheet">
    <worksheetSource ref="B1:C251" sheet="Dati sistemati"/>
  </cacheSource>
  <cacheFields count="2">
    <cacheField name="Cognome" numFmtId="0">
      <sharedItems/>
    </cacheField>
    <cacheField name="Età" numFmtId="0">
      <sharedItems containsSemiMixedTypes="0" containsString="0" containsNumber="1" containsInteger="1" minValue="20" maxValue="65" count="45">
        <n v="24"/>
        <n v="22"/>
        <n v="64"/>
        <n v="32"/>
        <n v="50"/>
        <n v="63"/>
        <n v="48"/>
        <n v="27"/>
        <n v="21"/>
        <n v="65"/>
        <n v="20"/>
        <n v="40"/>
        <n v="46"/>
        <n v="36"/>
        <n v="56"/>
        <n v="51"/>
        <n v="52"/>
        <n v="49"/>
        <n v="59"/>
        <n v="61"/>
        <n v="58"/>
        <n v="25"/>
        <n v="31"/>
        <n v="62"/>
        <n v="38"/>
        <n v="54"/>
        <n v="35"/>
        <n v="39"/>
        <n v="41"/>
        <n v="57"/>
        <n v="47"/>
        <n v="29"/>
        <n v="45"/>
        <n v="33"/>
        <n v="34"/>
        <n v="42"/>
        <n v="30"/>
        <n v="60"/>
        <n v="37"/>
        <n v="43"/>
        <n v="44"/>
        <n v="26"/>
        <n v="28"/>
        <n v="55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Adelmo"/>
    <s v="Anichini"/>
    <n v="24"/>
    <e v="#N/A"/>
    <x v="0"/>
    <x v="0"/>
    <x v="0"/>
  </r>
  <r>
    <s v="Adriana"/>
    <s v="Chindamo"/>
    <n v="22"/>
    <e v="#N/A"/>
    <x v="1"/>
    <x v="0"/>
    <x v="1"/>
  </r>
  <r>
    <s v="Adriana"/>
    <s v="Faranda"/>
    <n v="22"/>
    <e v="#N/A"/>
    <x v="1"/>
    <x v="0"/>
    <x v="2"/>
  </r>
  <r>
    <s v="Agnolo"/>
    <s v="Ferrari"/>
    <n v="64"/>
    <e v="#N/A"/>
    <x v="2"/>
    <x v="0"/>
    <x v="2"/>
  </r>
  <r>
    <s v="Agostino"/>
    <s v="Polesel"/>
    <n v="32"/>
    <e v="#N/A"/>
    <x v="3"/>
    <x v="0"/>
    <x v="2"/>
  </r>
  <r>
    <s v="Alfredo"/>
    <s v="Gabrieli"/>
    <n v="50"/>
    <e v="#N/A"/>
    <x v="4"/>
    <x v="0"/>
    <x v="1"/>
  </r>
  <r>
    <s v="Alfredo"/>
    <s v="Vigliotti"/>
    <n v="50"/>
    <e v="#N/A"/>
    <x v="4"/>
    <x v="0"/>
    <x v="3"/>
  </r>
  <r>
    <s v="Alina"/>
    <s v="Jovinelli"/>
    <n v="22"/>
    <e v="#N/A"/>
    <x v="3"/>
    <x v="0"/>
    <x v="2"/>
  </r>
  <r>
    <s v="Allegra"/>
    <s v="Guidone"/>
    <n v="63"/>
    <e v="#N/A"/>
    <x v="2"/>
    <x v="0"/>
    <x v="2"/>
  </r>
  <r>
    <s v="Allegra"/>
    <s v="Gagliano"/>
    <n v="63"/>
    <e v="#N/A"/>
    <x v="2"/>
    <x v="0"/>
    <x v="4"/>
  </r>
  <r>
    <s v="Allegra"/>
    <s v="Baggio"/>
    <n v="63"/>
    <e v="#N/A"/>
    <x v="2"/>
    <x v="0"/>
    <x v="0"/>
  </r>
  <r>
    <s v="Amadeo"/>
    <s v="Pastine"/>
    <n v="48"/>
    <e v="#N/A"/>
    <x v="4"/>
    <x v="0"/>
    <x v="5"/>
  </r>
  <r>
    <s v="Amico"/>
    <s v="Saffi"/>
    <n v="27"/>
    <e v="#N/A"/>
    <x v="1"/>
    <x v="0"/>
    <x v="3"/>
  </r>
  <r>
    <s v="Angelica"/>
    <s v="Moneta"/>
    <n v="21"/>
    <e v="#N/A"/>
    <x v="2"/>
    <x v="0"/>
    <x v="1"/>
  </r>
  <r>
    <s v="Angelo"/>
    <s v="Pavone"/>
    <n v="65"/>
    <e v="#N/A"/>
    <x v="4"/>
    <x v="0"/>
    <x v="0"/>
  </r>
  <r>
    <s v="Annalisa"/>
    <s v="Pietrangeli"/>
    <n v="20"/>
    <e v="#N/A"/>
    <x v="0"/>
    <x v="0"/>
    <x v="3"/>
  </r>
  <r>
    <s v="Annamaria"/>
    <s v="Burcardo"/>
    <n v="40"/>
    <e v="#N/A"/>
    <x v="2"/>
    <x v="0"/>
    <x v="1"/>
  </r>
  <r>
    <s v="Annamaria"/>
    <s v="Rocca"/>
    <n v="40"/>
    <e v="#N/A"/>
    <x v="2"/>
    <x v="0"/>
    <x v="1"/>
  </r>
  <r>
    <s v="Annetta"/>
    <s v="Einaudi"/>
    <n v="46"/>
    <e v="#N/A"/>
    <x v="4"/>
    <x v="0"/>
    <x v="1"/>
  </r>
  <r>
    <s v="Annibale"/>
    <s v="Rossi"/>
    <n v="64"/>
    <e v="#N/A"/>
    <x v="4"/>
    <x v="0"/>
    <x v="4"/>
  </r>
  <r>
    <s v="Antonello"/>
    <s v="Giammusso"/>
    <n v="36"/>
    <e v="#N/A"/>
    <x v="0"/>
    <x v="0"/>
    <x v="0"/>
  </r>
  <r>
    <s v="Antonino"/>
    <s v="Casagrande"/>
    <n v="56"/>
    <e v="#N/A"/>
    <x v="2"/>
    <x v="0"/>
    <x v="0"/>
  </r>
  <r>
    <s v="Arturo"/>
    <s v="Malaparte"/>
    <n v="32"/>
    <e v="#N/A"/>
    <x v="1"/>
    <x v="0"/>
    <x v="0"/>
  </r>
  <r>
    <s v="Atenulf"/>
    <s v="Pizzo"/>
    <n v="24"/>
    <e v="#N/A"/>
    <x v="2"/>
    <x v="0"/>
    <x v="6"/>
  </r>
  <r>
    <s v="Azeglio"/>
    <s v="Lombardi"/>
    <n v="51"/>
    <e v="#N/A"/>
    <x v="0"/>
    <x v="0"/>
    <x v="7"/>
  </r>
  <r>
    <s v="Baccio"/>
    <s v="Gabbana"/>
    <n v="21"/>
    <e v="#N/A"/>
    <x v="0"/>
    <x v="0"/>
    <x v="0"/>
  </r>
  <r>
    <s v="Beatrice"/>
    <s v="Lerner"/>
    <n v="52"/>
    <e v="#N/A"/>
    <x v="3"/>
    <x v="0"/>
    <x v="7"/>
  </r>
  <r>
    <s v="Beatrice"/>
    <s v="Salvo"/>
    <n v="52"/>
    <e v="#N/A"/>
    <x v="3"/>
    <x v="0"/>
    <x v="6"/>
  </r>
  <r>
    <s v="Beatrice"/>
    <s v="Bresciani"/>
    <n v="52"/>
    <e v="#N/A"/>
    <x v="3"/>
    <x v="0"/>
    <x v="1"/>
  </r>
  <r>
    <s v="Berenice"/>
    <s v="Cianciolo"/>
    <n v="49"/>
    <e v="#N/A"/>
    <x v="0"/>
    <x v="0"/>
    <x v="1"/>
  </r>
  <r>
    <s v="Bernardo"/>
    <s v="Nitto"/>
    <n v="56"/>
    <e v="#N/A"/>
    <x v="3"/>
    <x v="0"/>
    <x v="7"/>
  </r>
  <r>
    <s v="Biagio"/>
    <s v="Canetta"/>
    <n v="49"/>
    <e v="#N/A"/>
    <x v="3"/>
    <x v="0"/>
    <x v="6"/>
  </r>
  <r>
    <s v="Bianca"/>
    <s v="Salieri"/>
    <n v="59"/>
    <e v="#N/A"/>
    <x v="0"/>
    <x v="0"/>
    <x v="5"/>
  </r>
  <r>
    <s v="Bianca"/>
    <s v="Pulci"/>
    <n v="59"/>
    <e v="#N/A"/>
    <x v="0"/>
    <x v="0"/>
    <x v="0"/>
  </r>
  <r>
    <s v="Bruno"/>
    <s v="Mogherini"/>
    <n v="48"/>
    <e v="#N/A"/>
    <x v="1"/>
    <x v="0"/>
    <x v="5"/>
  </r>
  <r>
    <s v="Calogero"/>
    <s v="Monduzzi"/>
    <n v="49"/>
    <e v="#N/A"/>
    <x v="0"/>
    <x v="0"/>
    <x v="1"/>
  </r>
  <r>
    <s v="Camilla"/>
    <s v="Zaccardo"/>
    <n v="20"/>
    <e v="#N/A"/>
    <x v="2"/>
    <x v="0"/>
    <x v="8"/>
  </r>
  <r>
    <s v="Carla"/>
    <s v="Travaglio"/>
    <n v="61"/>
    <e v="#N/A"/>
    <x v="2"/>
    <x v="0"/>
    <x v="6"/>
  </r>
  <r>
    <s v="Carolina"/>
    <s v="Impastato"/>
    <n v="49"/>
    <e v="#N/A"/>
    <x v="4"/>
    <x v="0"/>
    <x v="5"/>
  </r>
  <r>
    <s v="Chiara"/>
    <s v="Dossetti"/>
    <n v="58"/>
    <e v="#N/A"/>
    <x v="0"/>
    <x v="0"/>
    <x v="0"/>
  </r>
  <r>
    <s v="Ciro"/>
    <s v="Nordio"/>
    <n v="25"/>
    <e v="#N/A"/>
    <x v="2"/>
    <x v="0"/>
    <x v="0"/>
  </r>
  <r>
    <s v="Claudia"/>
    <s v="Bertolucci"/>
    <n v="31"/>
    <e v="#N/A"/>
    <x v="3"/>
    <x v="0"/>
    <x v="9"/>
  </r>
  <r>
    <s v="Claudio"/>
    <s v="Foletti"/>
    <n v="62"/>
    <e v="#N/A"/>
    <x v="2"/>
    <x v="0"/>
    <x v="4"/>
  </r>
  <r>
    <s v="Concetta"/>
    <s v="Mazzacurati"/>
    <n v="38"/>
    <e v="#N/A"/>
    <x v="3"/>
    <x v="0"/>
    <x v="9"/>
  </r>
  <r>
    <s v="Costantino"/>
    <s v="Berengario"/>
    <n v="54"/>
    <e v="#N/A"/>
    <x v="3"/>
    <x v="0"/>
    <x v="0"/>
  </r>
  <r>
    <s v="Damiano"/>
    <s v="Marazzi"/>
    <n v="56"/>
    <e v="#N/A"/>
    <x v="4"/>
    <x v="0"/>
    <x v="2"/>
  </r>
  <r>
    <s v="Dante"/>
    <s v="Vivaldi"/>
    <n v="51"/>
    <e v="#N/A"/>
    <x v="1"/>
    <x v="0"/>
    <x v="2"/>
  </r>
  <r>
    <s v="Dario"/>
    <s v="Andreotti"/>
    <n v="32"/>
    <e v="#N/A"/>
    <x v="3"/>
    <x v="0"/>
    <x v="7"/>
  </r>
  <r>
    <s v="Diana"/>
    <s v="Scarpa"/>
    <n v="38"/>
    <e v="#N/A"/>
    <x v="2"/>
    <x v="0"/>
    <x v="9"/>
  </r>
  <r>
    <s v="Dina"/>
    <s v="Moresi"/>
    <n v="35"/>
    <e v="#N/A"/>
    <x v="1"/>
    <x v="0"/>
    <x v="2"/>
  </r>
  <r>
    <s v="Dino"/>
    <s v="Fracci"/>
    <n v="39"/>
    <e v="#N/A"/>
    <x v="4"/>
    <x v="0"/>
    <x v="5"/>
  </r>
  <r>
    <s v="Dionigi"/>
    <s v="Sandi"/>
    <n v="41"/>
    <e v="#N/A"/>
    <x v="3"/>
    <x v="0"/>
    <x v="9"/>
  </r>
  <r>
    <s v="Dolores"/>
    <s v="Micca"/>
    <n v="59"/>
    <e v="#N/A"/>
    <x v="2"/>
    <x v="0"/>
    <x v="6"/>
  </r>
  <r>
    <s v="Domenico"/>
    <s v="Guidone"/>
    <n v="32"/>
    <e v="#N/A"/>
    <x v="1"/>
    <x v="0"/>
    <x v="9"/>
  </r>
  <r>
    <s v="Domenico"/>
    <s v="Offredi"/>
    <n v="32"/>
    <e v="#N/A"/>
    <x v="1"/>
    <x v="0"/>
    <x v="3"/>
  </r>
  <r>
    <s v="Domenico"/>
    <s v="Morricone"/>
    <n v="32"/>
    <e v="#N/A"/>
    <x v="1"/>
    <x v="0"/>
    <x v="9"/>
  </r>
  <r>
    <s v="Domenico"/>
    <s v="Mastandrea"/>
    <n v="32"/>
    <e v="#N/A"/>
    <x v="1"/>
    <x v="0"/>
    <x v="2"/>
  </r>
  <r>
    <s v="Domenico"/>
    <s v="Porcellato"/>
    <n v="32"/>
    <e v="#N/A"/>
    <x v="1"/>
    <x v="0"/>
    <x v="4"/>
  </r>
  <r>
    <s v="Donatella"/>
    <s v="Proietti"/>
    <n v="46"/>
    <e v="#N/A"/>
    <x v="1"/>
    <x v="0"/>
    <x v="0"/>
  </r>
  <r>
    <s v="Donatella"/>
    <s v="Malaparte"/>
    <n v="46"/>
    <e v="#N/A"/>
    <x v="1"/>
    <x v="0"/>
    <x v="0"/>
  </r>
  <r>
    <s v="Donatello"/>
    <s v="Renzi"/>
    <n v="62"/>
    <e v="#N/A"/>
    <x v="2"/>
    <x v="0"/>
    <x v="3"/>
  </r>
  <r>
    <s v="Donato"/>
    <s v="Riccardi"/>
    <n v="57"/>
    <e v="#N/A"/>
    <x v="1"/>
    <x v="0"/>
    <x v="5"/>
  </r>
  <r>
    <s v="Durante"/>
    <s v="Caironi"/>
    <n v="47"/>
    <e v="#N/A"/>
    <x v="3"/>
    <x v="0"/>
    <x v="1"/>
  </r>
  <r>
    <s v="Elena"/>
    <s v="Scalera"/>
    <n v="50"/>
    <e v="#N/A"/>
    <x v="4"/>
    <x v="0"/>
    <x v="5"/>
  </r>
  <r>
    <s v="Elmo"/>
    <s v="Baresi"/>
    <n v="36"/>
    <e v="#N/A"/>
    <x v="2"/>
    <x v="0"/>
    <x v="3"/>
  </r>
  <r>
    <s v="Emilio"/>
    <s v="Moccia"/>
    <n v="29"/>
    <e v="#N/A"/>
    <x v="0"/>
    <x v="0"/>
    <x v="0"/>
  </r>
  <r>
    <s v="Emilio"/>
    <s v="Trentin"/>
    <n v="29"/>
    <e v="#N/A"/>
    <x v="0"/>
    <x v="0"/>
    <x v="0"/>
  </r>
  <r>
    <s v="Ennio"/>
    <s v="Palombi"/>
    <n v="45"/>
    <e v="#N/A"/>
    <x v="1"/>
    <x v="0"/>
    <x v="5"/>
  </r>
  <r>
    <s v="Enrico"/>
    <s v="Pellico"/>
    <n v="56"/>
    <e v="#N/A"/>
    <x v="2"/>
    <x v="0"/>
    <x v="0"/>
  </r>
  <r>
    <s v="Enzio"/>
    <s v="Staglieno"/>
    <n v="41"/>
    <e v="#N/A"/>
    <x v="2"/>
    <x v="0"/>
    <x v="1"/>
  </r>
  <r>
    <s v="Enzo"/>
    <s v="Zito"/>
    <n v="33"/>
    <e v="#N/A"/>
    <x v="2"/>
    <x v="0"/>
    <x v="6"/>
  </r>
  <r>
    <s v="Eraldo"/>
    <s v="Greco"/>
    <n v="25"/>
    <n v="51"/>
    <x v="2"/>
    <x v="1"/>
    <x v="9"/>
  </r>
  <r>
    <s v="Eraldo"/>
    <s v="Gianinazzi"/>
    <n v="25"/>
    <e v="#N/A"/>
    <x v="2"/>
    <x v="0"/>
    <x v="6"/>
  </r>
  <r>
    <s v="Ermanno"/>
    <s v="Casadei"/>
    <n v="34"/>
    <e v="#N/A"/>
    <x v="3"/>
    <x v="0"/>
    <x v="6"/>
  </r>
  <r>
    <s v="Ermanno"/>
    <s v="Varano"/>
    <n v="34"/>
    <e v="#N/A"/>
    <x v="3"/>
    <x v="0"/>
    <x v="3"/>
  </r>
  <r>
    <s v="Ermenegildo"/>
    <s v="Pacillo"/>
    <n v="51"/>
    <e v="#N/A"/>
    <x v="4"/>
    <x v="0"/>
    <x v="4"/>
  </r>
  <r>
    <s v="Ermes"/>
    <s v="Tomasini"/>
    <n v="32"/>
    <e v="#N/A"/>
    <x v="1"/>
    <x v="0"/>
    <x v="6"/>
  </r>
  <r>
    <s v="Ettore"/>
    <s v="Lovato"/>
    <n v="35"/>
    <e v="#N/A"/>
    <x v="0"/>
    <x v="0"/>
    <x v="1"/>
  </r>
  <r>
    <s v="Eva"/>
    <s v="Scotto"/>
    <n v="21"/>
    <e v="#N/A"/>
    <x v="2"/>
    <x v="0"/>
    <x v="4"/>
  </r>
  <r>
    <s v="Eva"/>
    <s v="Canetta"/>
    <n v="21"/>
    <e v="#N/A"/>
    <x v="2"/>
    <x v="0"/>
    <x v="3"/>
  </r>
  <r>
    <s v="Fabrizia"/>
    <s v="Caetani"/>
    <n v="35"/>
    <e v="#N/A"/>
    <x v="1"/>
    <x v="0"/>
    <x v="7"/>
  </r>
  <r>
    <s v="Federico"/>
    <s v="Lopresti"/>
    <n v="20"/>
    <e v="#N/A"/>
    <x v="2"/>
    <x v="0"/>
    <x v="8"/>
  </r>
  <r>
    <s v="Fernanda"/>
    <s v="Petrucelli"/>
    <n v="31"/>
    <e v="#N/A"/>
    <x v="4"/>
    <x v="0"/>
    <x v="1"/>
  </r>
  <r>
    <s v="Fiamma"/>
    <s v="Branciforte"/>
    <n v="42"/>
    <e v="#N/A"/>
    <x v="2"/>
    <x v="0"/>
    <x v="7"/>
  </r>
  <r>
    <s v="Fiorenzo"/>
    <s v="Gangemi"/>
    <n v="35"/>
    <e v="#N/A"/>
    <x v="3"/>
    <x v="0"/>
    <x v="5"/>
  </r>
  <r>
    <s v="Fiorino"/>
    <s v="Franscini"/>
    <n v="20"/>
    <e v="#N/A"/>
    <x v="3"/>
    <x v="0"/>
    <x v="4"/>
  </r>
  <r>
    <s v="Flavia"/>
    <s v="Blasi"/>
    <n v="62"/>
    <e v="#N/A"/>
    <x v="3"/>
    <x v="0"/>
    <x v="0"/>
  </r>
  <r>
    <s v="Francesca"/>
    <s v="Rosselli"/>
    <n v="49"/>
    <e v="#N/A"/>
    <x v="2"/>
    <x v="0"/>
    <x v="7"/>
  </r>
  <r>
    <s v="Galasso"/>
    <s v="Paltrinieri"/>
    <n v="30"/>
    <e v="#N/A"/>
    <x v="1"/>
    <x v="0"/>
    <x v="3"/>
  </r>
  <r>
    <s v="Giacobbe"/>
    <s v="Sbarbaro"/>
    <n v="32"/>
    <e v="#N/A"/>
    <x v="2"/>
    <x v="0"/>
    <x v="7"/>
  </r>
  <r>
    <s v="Giacomo"/>
    <s v="Modugno"/>
    <n v="61"/>
    <e v="#N/A"/>
    <x v="3"/>
    <x v="0"/>
    <x v="9"/>
  </r>
  <r>
    <s v="Giada"/>
    <s v="Paruta"/>
    <n v="38"/>
    <e v="#N/A"/>
    <x v="4"/>
    <x v="0"/>
    <x v="5"/>
  </r>
  <r>
    <s v="Gian"/>
    <s v="Vento"/>
    <n v="47"/>
    <e v="#N/A"/>
    <x v="3"/>
    <x v="0"/>
    <x v="7"/>
  </r>
  <r>
    <s v="Gianluigi"/>
    <s v="Martucci"/>
    <n v="42"/>
    <e v="#N/A"/>
    <x v="3"/>
    <x v="0"/>
    <x v="9"/>
  </r>
  <r>
    <s v="Gianluigi"/>
    <s v="Anastasi"/>
    <n v="42"/>
    <e v="#N/A"/>
    <x v="3"/>
    <x v="0"/>
    <x v="8"/>
  </r>
  <r>
    <s v="Gianluigi"/>
    <s v="Pacomio"/>
    <n v="42"/>
    <e v="#N/A"/>
    <x v="3"/>
    <x v="0"/>
    <x v="3"/>
  </r>
  <r>
    <s v="Gianmarco"/>
    <s v="Rossetti"/>
    <n v="60"/>
    <e v="#N/A"/>
    <x v="1"/>
    <x v="0"/>
    <x v="4"/>
  </r>
  <r>
    <s v="Gianna"/>
    <s v="Miniati"/>
    <n v="31"/>
    <e v="#N/A"/>
    <x v="4"/>
    <x v="0"/>
    <x v="8"/>
  </r>
  <r>
    <s v="Gianna"/>
    <s v="Galtarossa"/>
    <n v="31"/>
    <e v="#N/A"/>
    <x v="4"/>
    <x v="0"/>
    <x v="4"/>
  </r>
  <r>
    <s v="Gino"/>
    <s v="Callegari"/>
    <n v="50"/>
    <e v="#N/A"/>
    <x v="0"/>
    <x v="0"/>
    <x v="6"/>
  </r>
  <r>
    <s v="Gioffre"/>
    <s v="Rubbia"/>
    <n v="35"/>
    <e v="#N/A"/>
    <x v="3"/>
    <x v="0"/>
    <x v="6"/>
  </r>
  <r>
    <s v="Gionata"/>
    <s v="Maderna"/>
    <n v="42"/>
    <e v="#N/A"/>
    <x v="3"/>
    <x v="0"/>
    <x v="9"/>
  </r>
  <r>
    <s v="Giorgia"/>
    <s v="Agostini"/>
    <n v="48"/>
    <e v="#N/A"/>
    <x v="2"/>
    <x v="0"/>
    <x v="7"/>
  </r>
  <r>
    <s v="Giorgio"/>
    <s v="Montesano"/>
    <n v="65"/>
    <e v="#N/A"/>
    <x v="2"/>
    <x v="0"/>
    <x v="6"/>
  </r>
  <r>
    <s v="Giovanna"/>
    <s v="Gargallo"/>
    <n v="37"/>
    <e v="#N/A"/>
    <x v="1"/>
    <x v="0"/>
    <x v="6"/>
  </r>
  <r>
    <s v="Giovanni"/>
    <s v="Trapani"/>
    <n v="30"/>
    <e v="#N/A"/>
    <x v="0"/>
    <x v="0"/>
    <x v="9"/>
  </r>
  <r>
    <s v="Girolamo"/>
    <s v="Giolitti"/>
    <n v="37"/>
    <e v="#N/A"/>
    <x v="0"/>
    <x v="0"/>
    <x v="7"/>
  </r>
  <r>
    <s v="Girolamo"/>
    <s v="Pacelli"/>
    <n v="37"/>
    <e v="#N/A"/>
    <x v="0"/>
    <x v="0"/>
    <x v="7"/>
  </r>
  <r>
    <s v="Giulia"/>
    <s v="Cilea"/>
    <n v="43"/>
    <e v="#N/A"/>
    <x v="2"/>
    <x v="0"/>
    <x v="4"/>
  </r>
  <r>
    <s v="Giuliano"/>
    <s v="Cheda"/>
    <n v="44"/>
    <e v="#N/A"/>
    <x v="1"/>
    <x v="0"/>
    <x v="9"/>
  </r>
  <r>
    <s v="Giulio"/>
    <s v="Iadanza"/>
    <n v="27"/>
    <e v="#N/A"/>
    <x v="4"/>
    <x v="0"/>
    <x v="1"/>
  </r>
  <r>
    <s v="Giulio"/>
    <s v="Cundari"/>
    <n v="27"/>
    <e v="#N/A"/>
    <x v="4"/>
    <x v="0"/>
    <x v="6"/>
  </r>
  <r>
    <s v="Giulio"/>
    <s v="Acerbi"/>
    <n v="27"/>
    <e v="#N/A"/>
    <x v="4"/>
    <x v="0"/>
    <x v="8"/>
  </r>
  <r>
    <s v="Giuseppina"/>
    <s v="Antonini"/>
    <n v="61"/>
    <e v="#N/A"/>
    <x v="2"/>
    <x v="0"/>
    <x v="3"/>
  </r>
  <r>
    <s v="Graziella"/>
    <s v="Necci"/>
    <n v="40"/>
    <e v="#N/A"/>
    <x v="4"/>
    <x v="0"/>
    <x v="0"/>
  </r>
  <r>
    <s v="Greca"/>
    <s v="Aulenti"/>
    <n v="47"/>
    <e v="#N/A"/>
    <x v="4"/>
    <x v="0"/>
    <x v="1"/>
  </r>
  <r>
    <s v="Greco"/>
    <s v="Ferrara"/>
    <n v="51"/>
    <e v="#N/A"/>
    <x v="0"/>
    <x v="0"/>
    <x v="0"/>
  </r>
  <r>
    <s v="Greco"/>
    <s v="Majorana"/>
    <n v="51"/>
    <e v="#N/A"/>
    <x v="0"/>
    <x v="0"/>
    <x v="1"/>
  </r>
  <r>
    <s v="Guglielmo"/>
    <s v="Virgilio"/>
    <n v="26"/>
    <n v="46"/>
    <x v="2"/>
    <x v="2"/>
    <x v="3"/>
  </r>
  <r>
    <s v="Ida"/>
    <s v="Bajamonti"/>
    <n v="30"/>
    <e v="#N/A"/>
    <x v="1"/>
    <x v="0"/>
    <x v="4"/>
  </r>
  <r>
    <s v="Imelda"/>
    <s v="Tolentino"/>
    <n v="44"/>
    <e v="#N/A"/>
    <x v="2"/>
    <x v="0"/>
    <x v="7"/>
  </r>
  <r>
    <s v="Isabella"/>
    <s v="Manolesso"/>
    <n v="63"/>
    <e v="#N/A"/>
    <x v="0"/>
    <x v="0"/>
    <x v="5"/>
  </r>
  <r>
    <s v="Ivo"/>
    <s v="Alfieri"/>
    <n v="63"/>
    <e v="#N/A"/>
    <x v="0"/>
    <x v="0"/>
    <x v="5"/>
  </r>
  <r>
    <s v="Ivo"/>
    <s v="Federico"/>
    <n v="63"/>
    <n v="20"/>
    <x v="0"/>
    <x v="2"/>
    <x v="4"/>
  </r>
  <r>
    <s v="Jacopo"/>
    <s v="Verri"/>
    <n v="59"/>
    <e v="#N/A"/>
    <x v="1"/>
    <x v="0"/>
    <x v="9"/>
  </r>
  <r>
    <s v="Jolanda"/>
    <s v="Giulietti"/>
    <n v="47"/>
    <e v="#N/A"/>
    <x v="3"/>
    <x v="0"/>
    <x v="3"/>
  </r>
  <r>
    <s v="Lando"/>
    <s v="Tozzo"/>
    <n v="24"/>
    <e v="#N/A"/>
    <x v="4"/>
    <x v="0"/>
    <x v="9"/>
  </r>
  <r>
    <s v="Lando"/>
    <s v="Ceravolo"/>
    <n v="24"/>
    <e v="#N/A"/>
    <x v="4"/>
    <x v="0"/>
    <x v="7"/>
  </r>
  <r>
    <s v="Lara"/>
    <s v="Respighi"/>
    <n v="42"/>
    <e v="#N/A"/>
    <x v="4"/>
    <x v="0"/>
    <x v="1"/>
  </r>
  <r>
    <s v="Laura"/>
    <s v="Canil"/>
    <n v="52"/>
    <e v="#N/A"/>
    <x v="2"/>
    <x v="0"/>
    <x v="4"/>
  </r>
  <r>
    <s v="Lazzaro"/>
    <s v="Salgari"/>
    <n v="20"/>
    <e v="#N/A"/>
    <x v="1"/>
    <x v="0"/>
    <x v="0"/>
  </r>
  <r>
    <s v="Leonardo"/>
    <s v="Maccanelli"/>
    <n v="43"/>
    <e v="#N/A"/>
    <x v="0"/>
    <x v="0"/>
    <x v="6"/>
  </r>
  <r>
    <s v="Leopoldo"/>
    <s v="Angiolello"/>
    <n v="45"/>
    <e v="#N/A"/>
    <x v="0"/>
    <x v="0"/>
    <x v="4"/>
  </r>
  <r>
    <s v="Lidia"/>
    <s v="Sagnelli"/>
    <n v="61"/>
    <e v="#N/A"/>
    <x v="0"/>
    <x v="0"/>
    <x v="3"/>
  </r>
  <r>
    <s v="Liliana"/>
    <s v="Stucchi"/>
    <n v="27"/>
    <e v="#N/A"/>
    <x v="0"/>
    <x v="0"/>
    <x v="7"/>
  </r>
  <r>
    <s v="Livia"/>
    <s v="Tomaselli"/>
    <n v="37"/>
    <e v="#N/A"/>
    <x v="1"/>
    <x v="0"/>
    <x v="0"/>
  </r>
  <r>
    <s v="Lodovico"/>
    <s v="Serraglio"/>
    <n v="32"/>
    <e v="#N/A"/>
    <x v="3"/>
    <x v="0"/>
    <x v="8"/>
  </r>
  <r>
    <s v="Lucia"/>
    <s v="Giannetti"/>
    <n v="29"/>
    <e v="#N/A"/>
    <x v="3"/>
    <x v="0"/>
    <x v="6"/>
  </r>
  <r>
    <s v="Lucia"/>
    <s v="Tonisto"/>
    <n v="29"/>
    <e v="#N/A"/>
    <x v="3"/>
    <x v="0"/>
    <x v="7"/>
  </r>
  <r>
    <s v="Lucio"/>
    <s v="Duodo"/>
    <n v="63"/>
    <e v="#N/A"/>
    <x v="3"/>
    <x v="0"/>
    <x v="7"/>
  </r>
  <r>
    <s v="Lucrezia"/>
    <s v="Cesaroni"/>
    <n v="54"/>
    <e v="#N/A"/>
    <x v="1"/>
    <x v="0"/>
    <x v="8"/>
  </r>
  <r>
    <s v="Ludovica"/>
    <s v="Casini"/>
    <n v="35"/>
    <e v="#N/A"/>
    <x v="3"/>
    <x v="0"/>
    <x v="0"/>
  </r>
  <r>
    <s v="Luigi"/>
    <s v="Bramante"/>
    <n v="52"/>
    <e v="#N/A"/>
    <x v="3"/>
    <x v="0"/>
    <x v="6"/>
  </r>
  <r>
    <s v="Luisa"/>
    <s v="Palazzo"/>
    <n v="28"/>
    <e v="#N/A"/>
    <x v="0"/>
    <x v="0"/>
    <x v="7"/>
  </r>
  <r>
    <s v="Marcantonio"/>
    <s v="Fornaciari"/>
    <n v="29"/>
    <e v="#N/A"/>
    <x v="3"/>
    <x v="0"/>
    <x v="8"/>
  </r>
  <r>
    <s v="Marcantonio"/>
    <s v="Bellucci"/>
    <n v="29"/>
    <e v="#N/A"/>
    <x v="3"/>
    <x v="0"/>
    <x v="5"/>
  </r>
  <r>
    <s v="Marcella"/>
    <s v="Giannini"/>
    <n v="39"/>
    <e v="#N/A"/>
    <x v="0"/>
    <x v="0"/>
    <x v="0"/>
  </r>
  <r>
    <s v="Maria"/>
    <s v="Cesaroni"/>
    <n v="62"/>
    <e v="#N/A"/>
    <x v="3"/>
    <x v="0"/>
    <x v="5"/>
  </r>
  <r>
    <s v="Maria"/>
    <s v="Bellucci"/>
    <n v="62"/>
    <e v="#N/A"/>
    <x v="3"/>
    <x v="0"/>
    <x v="2"/>
  </r>
  <r>
    <s v="Maria"/>
    <s v="Missoni"/>
    <n v="62"/>
    <e v="#N/A"/>
    <x v="3"/>
    <x v="0"/>
    <x v="2"/>
  </r>
  <r>
    <s v="Mariana"/>
    <s v="Detti"/>
    <n v="43"/>
    <e v="#N/A"/>
    <x v="2"/>
    <x v="0"/>
    <x v="7"/>
  </r>
  <r>
    <s v="Mariana"/>
    <s v="Vasari"/>
    <n v="43"/>
    <e v="#N/A"/>
    <x v="2"/>
    <x v="0"/>
    <x v="7"/>
  </r>
  <r>
    <s v="Mariana"/>
    <s v="Giannetti"/>
    <n v="43"/>
    <e v="#N/A"/>
    <x v="2"/>
    <x v="0"/>
    <x v="7"/>
  </r>
  <r>
    <s v="Mariano"/>
    <s v="Abate"/>
    <n v="30"/>
    <e v="#N/A"/>
    <x v="0"/>
    <x v="0"/>
    <x v="3"/>
  </r>
  <r>
    <s v="Mariano"/>
    <s v="Falloppio"/>
    <n v="30"/>
    <e v="#N/A"/>
    <x v="0"/>
    <x v="0"/>
    <x v="2"/>
  </r>
  <r>
    <s v="Marina"/>
    <s v="Cicala"/>
    <n v="56"/>
    <e v="#N/A"/>
    <x v="2"/>
    <x v="0"/>
    <x v="3"/>
  </r>
  <r>
    <s v="Matilda"/>
    <s v="Bajamonti"/>
    <n v="40"/>
    <e v="#N/A"/>
    <x v="3"/>
    <x v="0"/>
    <x v="8"/>
  </r>
  <r>
    <s v="Matilda"/>
    <s v="Bonomo"/>
    <n v="40"/>
    <e v="#N/A"/>
    <x v="3"/>
    <x v="0"/>
    <x v="2"/>
  </r>
  <r>
    <s v="Matteo"/>
    <s v="Tozzo"/>
    <n v="64"/>
    <e v="#N/A"/>
    <x v="2"/>
    <x v="0"/>
    <x v="0"/>
  </r>
  <r>
    <s v="Mattia"/>
    <s v="Tosi"/>
    <n v="59"/>
    <e v="#N/A"/>
    <x v="1"/>
    <x v="0"/>
    <x v="6"/>
  </r>
  <r>
    <s v="Maura"/>
    <s v="Cicilia"/>
    <n v="26"/>
    <e v="#N/A"/>
    <x v="2"/>
    <x v="0"/>
    <x v="0"/>
  </r>
  <r>
    <s v="Maura"/>
    <s v="Omma"/>
    <n v="26"/>
    <e v="#N/A"/>
    <x v="2"/>
    <x v="0"/>
    <x v="5"/>
  </r>
  <r>
    <s v="Mauro"/>
    <s v="Luria"/>
    <n v="30"/>
    <e v="#N/A"/>
    <x v="1"/>
    <x v="0"/>
    <x v="1"/>
  </r>
  <r>
    <s v="Melania"/>
    <s v="Fiorucci"/>
    <n v="62"/>
    <e v="#N/A"/>
    <x v="1"/>
    <x v="0"/>
    <x v="3"/>
  </r>
  <r>
    <s v="Melina"/>
    <s v="Basso"/>
    <n v="54"/>
    <e v="#N/A"/>
    <x v="2"/>
    <x v="0"/>
    <x v="5"/>
  </r>
  <r>
    <s v="Melina"/>
    <s v="Amato"/>
    <n v="54"/>
    <e v="#N/A"/>
    <x v="2"/>
    <x v="0"/>
    <x v="9"/>
  </r>
  <r>
    <s v="Melina"/>
    <s v="Santi"/>
    <n v="54"/>
    <e v="#N/A"/>
    <x v="2"/>
    <x v="0"/>
    <x v="0"/>
  </r>
  <r>
    <s v="Melissa"/>
    <s v="Alonzi"/>
    <n v="21"/>
    <e v="#N/A"/>
    <x v="0"/>
    <x v="0"/>
    <x v="7"/>
  </r>
  <r>
    <s v="Michela"/>
    <s v="Polizzi"/>
    <n v="64"/>
    <e v="#N/A"/>
    <x v="2"/>
    <x v="0"/>
    <x v="8"/>
  </r>
  <r>
    <s v="Michele"/>
    <s v="Contarini"/>
    <n v="49"/>
    <e v="#N/A"/>
    <x v="1"/>
    <x v="0"/>
    <x v="4"/>
  </r>
  <r>
    <s v="Michele"/>
    <s v="Scotti"/>
    <n v="49"/>
    <e v="#N/A"/>
    <x v="1"/>
    <x v="0"/>
    <x v="9"/>
  </r>
  <r>
    <s v="Micheletto"/>
    <s v="Bonolis"/>
    <n v="26"/>
    <e v="#N/A"/>
    <x v="0"/>
    <x v="0"/>
    <x v="0"/>
  </r>
  <r>
    <s v="Milena"/>
    <s v="Petrocelli"/>
    <n v="28"/>
    <e v="#N/A"/>
    <x v="4"/>
    <x v="0"/>
    <x v="8"/>
  </r>
  <r>
    <s v="Monica"/>
    <s v="Bodoni"/>
    <n v="59"/>
    <e v="#N/A"/>
    <x v="3"/>
    <x v="0"/>
    <x v="4"/>
  </r>
  <r>
    <s v="Monica"/>
    <s v="Lancisi"/>
    <n v="59"/>
    <e v="#N/A"/>
    <x v="3"/>
    <x v="0"/>
    <x v="4"/>
  </r>
  <r>
    <s v="Nadia"/>
    <s v="Trebbi"/>
    <n v="32"/>
    <e v="#N/A"/>
    <x v="2"/>
    <x v="0"/>
    <x v="1"/>
  </r>
  <r>
    <s v="Niccolò"/>
    <s v="Navone"/>
    <n v="37"/>
    <e v="#N/A"/>
    <x v="0"/>
    <x v="0"/>
    <x v="9"/>
  </r>
  <r>
    <s v="Nino"/>
    <s v="Battaglia"/>
    <n v="30"/>
    <e v="#N/A"/>
    <x v="2"/>
    <x v="0"/>
    <x v="7"/>
  </r>
  <r>
    <s v="Olga"/>
    <s v="Depero"/>
    <n v="54"/>
    <e v="#N/A"/>
    <x v="2"/>
    <x v="0"/>
    <x v="3"/>
  </r>
  <r>
    <s v="Osvaldo"/>
    <s v="Fantini"/>
    <n v="62"/>
    <e v="#N/A"/>
    <x v="4"/>
    <x v="0"/>
    <x v="6"/>
  </r>
  <r>
    <s v="Paoletta"/>
    <s v="Giannini"/>
    <n v="35"/>
    <e v="#N/A"/>
    <x v="2"/>
    <x v="0"/>
    <x v="7"/>
  </r>
  <r>
    <s v="Paoletta"/>
    <s v="Nibali"/>
    <n v="35"/>
    <e v="#N/A"/>
    <x v="2"/>
    <x v="0"/>
    <x v="4"/>
  </r>
  <r>
    <s v="Paoletta"/>
    <s v="Tarantini"/>
    <n v="35"/>
    <e v="#N/A"/>
    <x v="2"/>
    <x v="0"/>
    <x v="5"/>
  </r>
  <r>
    <s v="Paolo"/>
    <s v="Tamburi"/>
    <n v="25"/>
    <e v="#N/A"/>
    <x v="1"/>
    <x v="0"/>
    <x v="3"/>
  </r>
  <r>
    <s v="Paride"/>
    <s v="Pepe"/>
    <n v="45"/>
    <e v="#N/A"/>
    <x v="2"/>
    <x v="0"/>
    <x v="2"/>
  </r>
  <r>
    <s v="Paride"/>
    <s v="Petrassi"/>
    <n v="45"/>
    <e v="#N/A"/>
    <x v="2"/>
    <x v="0"/>
    <x v="3"/>
  </r>
  <r>
    <s v="Pasqual"/>
    <s v="Ceravolo"/>
    <n v="25"/>
    <e v="#N/A"/>
    <x v="2"/>
    <x v="0"/>
    <x v="4"/>
  </r>
  <r>
    <s v="Pasqual"/>
    <s v="Tanzini"/>
    <n v="25"/>
    <e v="#N/A"/>
    <x v="2"/>
    <x v="0"/>
    <x v="4"/>
  </r>
  <r>
    <s v="Pasquale"/>
    <s v="Gussoni"/>
    <n v="65"/>
    <e v="#N/A"/>
    <x v="2"/>
    <x v="0"/>
    <x v="2"/>
  </r>
  <r>
    <s v="Pasquale"/>
    <s v="Pacillo"/>
    <n v="65"/>
    <e v="#N/A"/>
    <x v="2"/>
    <x v="0"/>
    <x v="9"/>
  </r>
  <r>
    <s v="Paulina"/>
    <s v="Matteotti"/>
    <n v="42"/>
    <e v="#N/A"/>
    <x v="2"/>
    <x v="0"/>
    <x v="7"/>
  </r>
  <r>
    <s v="Piergiuseppe"/>
    <s v="Ferrabosco"/>
    <n v="55"/>
    <e v="#N/A"/>
    <x v="0"/>
    <x v="0"/>
    <x v="1"/>
  </r>
  <r>
    <s v="Pierluigi"/>
    <s v="Delle"/>
    <n v="45"/>
    <e v="#N/A"/>
    <x v="1"/>
    <x v="0"/>
    <x v="3"/>
  </r>
  <r>
    <s v="Pierluigi"/>
    <s v="Crespi"/>
    <n v="45"/>
    <e v="#N/A"/>
    <x v="1"/>
    <x v="0"/>
    <x v="0"/>
  </r>
  <r>
    <s v="Pompeo"/>
    <s v="Flaiano"/>
    <n v="64"/>
    <e v="#N/A"/>
    <x v="1"/>
    <x v="0"/>
    <x v="6"/>
  </r>
  <r>
    <s v="Puccio"/>
    <s v="Marini"/>
    <n v="39"/>
    <e v="#N/A"/>
    <x v="1"/>
    <x v="0"/>
    <x v="8"/>
  </r>
  <r>
    <s v="Rembrandt"/>
    <s v="Bonino"/>
    <n v="57"/>
    <e v="#N/A"/>
    <x v="1"/>
    <x v="0"/>
    <x v="2"/>
  </r>
  <r>
    <s v="Rembrandt"/>
    <s v="Taccola"/>
    <n v="57"/>
    <e v="#N/A"/>
    <x v="1"/>
    <x v="0"/>
    <x v="1"/>
  </r>
  <r>
    <s v="Ricciotti"/>
    <s v="Iadanza"/>
    <n v="42"/>
    <e v="#N/A"/>
    <x v="4"/>
    <x v="0"/>
    <x v="0"/>
  </r>
  <r>
    <s v="Ricciotti"/>
    <s v="Riccardi"/>
    <n v="42"/>
    <e v="#N/A"/>
    <x v="4"/>
    <x v="0"/>
    <x v="9"/>
  </r>
  <r>
    <s v="Ricciotti"/>
    <s v="Carducci"/>
    <n v="42"/>
    <e v="#N/A"/>
    <x v="4"/>
    <x v="0"/>
    <x v="7"/>
  </r>
  <r>
    <s v="Ricciotti"/>
    <s v="Gelli"/>
    <n v="42"/>
    <e v="#N/A"/>
    <x v="4"/>
    <x v="0"/>
    <x v="6"/>
  </r>
  <r>
    <s v="Rita"/>
    <s v="Calbo"/>
    <n v="56"/>
    <e v="#N/A"/>
    <x v="0"/>
    <x v="0"/>
    <x v="6"/>
  </r>
  <r>
    <s v="Roberta"/>
    <s v="Brunello"/>
    <n v="33"/>
    <e v="#N/A"/>
    <x v="2"/>
    <x v="0"/>
    <x v="0"/>
  </r>
  <r>
    <s v="Rocco"/>
    <s v="Lombardi"/>
    <n v="36"/>
    <e v="#N/A"/>
    <x v="4"/>
    <x v="0"/>
    <x v="1"/>
  </r>
  <r>
    <s v="Rodolfo"/>
    <s v="Omma"/>
    <n v="65"/>
    <e v="#N/A"/>
    <x v="3"/>
    <x v="0"/>
    <x v="1"/>
  </r>
  <r>
    <s v="Rodolfo"/>
    <s v="Bova"/>
    <n v="65"/>
    <e v="#N/A"/>
    <x v="3"/>
    <x v="0"/>
    <x v="6"/>
  </r>
  <r>
    <s v="Romeo"/>
    <s v="Iannuzzi"/>
    <n v="22"/>
    <e v="#N/A"/>
    <x v="1"/>
    <x v="0"/>
    <x v="5"/>
  </r>
  <r>
    <s v="Romeo"/>
    <s v="Satta"/>
    <n v="22"/>
    <e v="#N/A"/>
    <x v="1"/>
    <x v="0"/>
    <x v="0"/>
  </r>
  <r>
    <s v="Romolo"/>
    <s v="Mantegazza"/>
    <n v="41"/>
    <e v="#N/A"/>
    <x v="2"/>
    <x v="0"/>
    <x v="3"/>
  </r>
  <r>
    <s v="Rosaria"/>
    <s v="Coardi"/>
    <n v="57"/>
    <e v="#N/A"/>
    <x v="3"/>
    <x v="0"/>
    <x v="0"/>
  </r>
  <r>
    <s v="Rossana"/>
    <s v="Soderini"/>
    <n v="51"/>
    <e v="#N/A"/>
    <x v="3"/>
    <x v="0"/>
    <x v="9"/>
  </r>
  <r>
    <s v="Ruggiero"/>
    <s v="Zichichi"/>
    <n v="34"/>
    <e v="#N/A"/>
    <x v="4"/>
    <x v="0"/>
    <x v="8"/>
  </r>
  <r>
    <s v="Salvatore"/>
    <s v="Ramazzotti"/>
    <n v="36"/>
    <e v="#N/A"/>
    <x v="4"/>
    <x v="0"/>
    <x v="0"/>
  </r>
  <r>
    <s v="Salvatore"/>
    <s v="Bazzi"/>
    <n v="36"/>
    <e v="#N/A"/>
    <x v="4"/>
    <x v="0"/>
    <x v="7"/>
  </r>
  <r>
    <s v="Salvatore"/>
    <s v="Bombieri"/>
    <n v="36"/>
    <e v="#N/A"/>
    <x v="4"/>
    <x v="0"/>
    <x v="7"/>
  </r>
  <r>
    <s v="Salvi"/>
    <s v="Cicala"/>
    <n v="33"/>
    <e v="#N/A"/>
    <x v="2"/>
    <x v="0"/>
    <x v="3"/>
  </r>
  <r>
    <s v="Sante"/>
    <s v="Alfonsi"/>
    <n v="52"/>
    <e v="#N/A"/>
    <x v="2"/>
    <x v="0"/>
    <x v="5"/>
  </r>
  <r>
    <s v="Sebastiano"/>
    <s v="Bombieri"/>
    <n v="22"/>
    <e v="#N/A"/>
    <x v="0"/>
    <x v="0"/>
    <x v="4"/>
  </r>
  <r>
    <s v="Serafina"/>
    <s v="Pascarella"/>
    <n v="33"/>
    <e v="#N/A"/>
    <x v="0"/>
    <x v="0"/>
    <x v="8"/>
  </r>
  <r>
    <s v="Serena"/>
    <s v="Bonino"/>
    <n v="29"/>
    <e v="#N/A"/>
    <x v="2"/>
    <x v="0"/>
    <x v="2"/>
  </r>
  <r>
    <s v="Serena"/>
    <s v="Camicione"/>
    <n v="29"/>
    <e v="#N/A"/>
    <x v="2"/>
    <x v="0"/>
    <x v="2"/>
  </r>
  <r>
    <s v="Serena"/>
    <s v="Calarco"/>
    <n v="29"/>
    <e v="#N/A"/>
    <x v="2"/>
    <x v="0"/>
    <x v="7"/>
  </r>
  <r>
    <s v="Serena"/>
    <s v="Bandello"/>
    <n v="29"/>
    <e v="#N/A"/>
    <x v="2"/>
    <x v="0"/>
    <x v="8"/>
  </r>
  <r>
    <s v="Stefania"/>
    <s v="Cimini"/>
    <n v="30"/>
    <e v="#N/A"/>
    <x v="3"/>
    <x v="0"/>
    <x v="6"/>
  </r>
  <r>
    <s v="Stefano"/>
    <s v="Proietti"/>
    <n v="58"/>
    <e v="#N/A"/>
    <x v="2"/>
    <x v="0"/>
    <x v="5"/>
  </r>
  <r>
    <s v="Teresa"/>
    <s v="Visintini"/>
    <n v="22"/>
    <e v="#N/A"/>
    <x v="0"/>
    <x v="0"/>
    <x v="9"/>
  </r>
  <r>
    <s v="Tina"/>
    <s v="Iannotti"/>
    <n v="65"/>
    <e v="#N/A"/>
    <x v="1"/>
    <x v="0"/>
    <x v="6"/>
  </r>
  <r>
    <s v="Tonia"/>
    <s v="Pisani"/>
    <n v="55"/>
    <e v="#N/A"/>
    <x v="3"/>
    <x v="0"/>
    <x v="5"/>
  </r>
  <r>
    <s v="Tonia"/>
    <s v="Fo"/>
    <n v="55"/>
    <e v="#N/A"/>
    <x v="3"/>
    <x v="0"/>
    <x v="3"/>
  </r>
  <r>
    <s v="Tonino"/>
    <s v="Bompiani"/>
    <n v="51"/>
    <e v="#N/A"/>
    <x v="2"/>
    <x v="0"/>
    <x v="3"/>
  </r>
  <r>
    <s v="Tonino"/>
    <s v="Micca"/>
    <n v="51"/>
    <e v="#N/A"/>
    <x v="2"/>
    <x v="0"/>
    <x v="5"/>
  </r>
  <r>
    <s v="Tonino"/>
    <s v="Foletti"/>
    <n v="51"/>
    <e v="#N/A"/>
    <x v="2"/>
    <x v="0"/>
    <x v="1"/>
  </r>
  <r>
    <s v="Torquato"/>
    <s v="Santorio"/>
    <n v="46"/>
    <e v="#N/A"/>
    <x v="3"/>
    <x v="0"/>
    <x v="3"/>
  </r>
  <r>
    <s v="Tullio"/>
    <s v="Zola"/>
    <n v="43"/>
    <e v="#N/A"/>
    <x v="0"/>
    <x v="0"/>
    <x v="5"/>
  </r>
  <r>
    <s v="Uberto"/>
    <s v="Grimani"/>
    <n v="20"/>
    <e v="#N/A"/>
    <x v="4"/>
    <x v="0"/>
    <x v="2"/>
  </r>
  <r>
    <s v="Ugo"/>
    <s v="Zaccagnini"/>
    <n v="27"/>
    <e v="#N/A"/>
    <x v="2"/>
    <x v="0"/>
    <x v="8"/>
  </r>
  <r>
    <s v="Umberto"/>
    <s v="Micca"/>
    <n v="42"/>
    <e v="#N/A"/>
    <x v="4"/>
    <x v="0"/>
    <x v="4"/>
  </r>
  <r>
    <s v="Venancio"/>
    <s v="Dallapé"/>
    <n v="55"/>
    <e v="#N/A"/>
    <x v="2"/>
    <x v="0"/>
    <x v="1"/>
  </r>
  <r>
    <s v="Veronica"/>
    <s v="Garobbio"/>
    <n v="54"/>
    <e v="#N/A"/>
    <x v="4"/>
    <x v="0"/>
    <x v="5"/>
  </r>
  <r>
    <s v="Victoria"/>
    <s v="Scialpi"/>
    <n v="23"/>
    <e v="#N/A"/>
    <x v="1"/>
    <x v="0"/>
    <x v="6"/>
  </r>
  <r>
    <s v="Victoria"/>
    <s v="Camilleri"/>
    <n v="23"/>
    <e v="#N/A"/>
    <x v="1"/>
    <x v="0"/>
    <x v="4"/>
  </r>
  <r>
    <s v="Vincenzo"/>
    <s v="Filippelli"/>
    <n v="33"/>
    <e v="#N/A"/>
    <x v="3"/>
    <x v="0"/>
    <x v="3"/>
  </r>
  <r>
    <s v="Vincenzo"/>
    <s v="Campano"/>
    <n v="33"/>
    <e v="#N/A"/>
    <x v="3"/>
    <x v="0"/>
    <x v="8"/>
  </r>
  <r>
    <s v="Vincenzo"/>
    <s v="Romiti"/>
    <n v="33"/>
    <e v="#N/A"/>
    <x v="3"/>
    <x v="0"/>
    <x v="9"/>
  </r>
  <r>
    <s v="Virgilio"/>
    <s v="Piccio"/>
    <n v="46"/>
    <e v="#N/A"/>
    <x v="2"/>
    <x v="0"/>
    <x v="3"/>
  </r>
  <r>
    <s v="Vittoria"/>
    <s v="Schicchi"/>
    <n v="56"/>
    <e v="#N/A"/>
    <x v="2"/>
    <x v="0"/>
    <x v="2"/>
  </r>
  <r>
    <s v="Vittoria"/>
    <s v="Jovinelli"/>
    <n v="56"/>
    <e v="#N/A"/>
    <x v="2"/>
    <x v="0"/>
    <x v="6"/>
  </r>
  <r>
    <s v="Zaira"/>
    <s v="Viviani"/>
    <n v="60"/>
    <e v="#N/A"/>
    <x v="2"/>
    <x v="0"/>
    <x v="8"/>
  </r>
  <r>
    <s v="Zaira"/>
    <s v="Ferrara"/>
    <n v="60"/>
    <e v="#N/A"/>
    <x v="2"/>
    <x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Anichini"/>
    <x v="0"/>
  </r>
  <r>
    <s v="Chindamo"/>
    <x v="1"/>
  </r>
  <r>
    <s v="Faranda"/>
    <x v="1"/>
  </r>
  <r>
    <s v="Ferrari"/>
    <x v="2"/>
  </r>
  <r>
    <s v="Polesel"/>
    <x v="3"/>
  </r>
  <r>
    <s v="Gabrieli"/>
    <x v="4"/>
  </r>
  <r>
    <s v="Vigliotti"/>
    <x v="4"/>
  </r>
  <r>
    <s v="Jovinelli"/>
    <x v="1"/>
  </r>
  <r>
    <s v="Guidone"/>
    <x v="5"/>
  </r>
  <r>
    <s v="Gagliano"/>
    <x v="5"/>
  </r>
  <r>
    <s v="Baggio"/>
    <x v="5"/>
  </r>
  <r>
    <s v="Pastine"/>
    <x v="6"/>
  </r>
  <r>
    <s v="Saffi"/>
    <x v="7"/>
  </r>
  <r>
    <s v="Moneta"/>
    <x v="8"/>
  </r>
  <r>
    <s v="Pavone"/>
    <x v="9"/>
  </r>
  <r>
    <s v="Pietrangeli"/>
    <x v="10"/>
  </r>
  <r>
    <s v="Burcardo"/>
    <x v="11"/>
  </r>
  <r>
    <s v="Rocca"/>
    <x v="11"/>
  </r>
  <r>
    <s v="Einaudi"/>
    <x v="12"/>
  </r>
  <r>
    <s v="Rossi"/>
    <x v="2"/>
  </r>
  <r>
    <s v="Giammusso"/>
    <x v="13"/>
  </r>
  <r>
    <s v="Casagrande"/>
    <x v="14"/>
  </r>
  <r>
    <s v="Malaparte"/>
    <x v="3"/>
  </r>
  <r>
    <s v="Pizzo"/>
    <x v="0"/>
  </r>
  <r>
    <s v="Lombardi"/>
    <x v="15"/>
  </r>
  <r>
    <s v="Gabbana"/>
    <x v="8"/>
  </r>
  <r>
    <s v="Lerner"/>
    <x v="16"/>
  </r>
  <r>
    <s v="Salvo"/>
    <x v="16"/>
  </r>
  <r>
    <s v="Bresciani"/>
    <x v="16"/>
  </r>
  <r>
    <s v="Cianciolo"/>
    <x v="17"/>
  </r>
  <r>
    <s v="Nitto"/>
    <x v="14"/>
  </r>
  <r>
    <s v="Canetta"/>
    <x v="17"/>
  </r>
  <r>
    <s v="Salieri"/>
    <x v="18"/>
  </r>
  <r>
    <s v="Pulci"/>
    <x v="18"/>
  </r>
  <r>
    <s v="Mogherini"/>
    <x v="6"/>
  </r>
  <r>
    <s v="Monduzzi"/>
    <x v="17"/>
  </r>
  <r>
    <s v="Zaccardo"/>
    <x v="10"/>
  </r>
  <r>
    <s v="Travaglio"/>
    <x v="19"/>
  </r>
  <r>
    <s v="Impastato"/>
    <x v="17"/>
  </r>
  <r>
    <s v="Dossetti"/>
    <x v="20"/>
  </r>
  <r>
    <s v="Nordio"/>
    <x v="21"/>
  </r>
  <r>
    <s v="Bertolucci"/>
    <x v="22"/>
  </r>
  <r>
    <s v="Foletti"/>
    <x v="23"/>
  </r>
  <r>
    <s v="Mazzacurati"/>
    <x v="24"/>
  </r>
  <r>
    <s v="Berengario"/>
    <x v="25"/>
  </r>
  <r>
    <s v="Marazzi"/>
    <x v="14"/>
  </r>
  <r>
    <s v="Vivaldi"/>
    <x v="15"/>
  </r>
  <r>
    <s v="Andreotti"/>
    <x v="3"/>
  </r>
  <r>
    <s v="Scarpa"/>
    <x v="24"/>
  </r>
  <r>
    <s v="Moresi"/>
    <x v="26"/>
  </r>
  <r>
    <s v="Fracci"/>
    <x v="27"/>
  </r>
  <r>
    <s v="Sandi"/>
    <x v="28"/>
  </r>
  <r>
    <s v="Micca"/>
    <x v="18"/>
  </r>
  <r>
    <s v="Guidone"/>
    <x v="3"/>
  </r>
  <r>
    <s v="Offredi"/>
    <x v="3"/>
  </r>
  <r>
    <s v="Morricone"/>
    <x v="3"/>
  </r>
  <r>
    <s v="Mastandrea"/>
    <x v="3"/>
  </r>
  <r>
    <s v="Porcellato"/>
    <x v="3"/>
  </r>
  <r>
    <s v="Proietti"/>
    <x v="12"/>
  </r>
  <r>
    <s v="Malaparte"/>
    <x v="12"/>
  </r>
  <r>
    <s v="Renzi"/>
    <x v="23"/>
  </r>
  <r>
    <s v="Riccardi"/>
    <x v="29"/>
  </r>
  <r>
    <s v="Caironi"/>
    <x v="30"/>
  </r>
  <r>
    <s v="Scalera"/>
    <x v="4"/>
  </r>
  <r>
    <s v="Baresi"/>
    <x v="13"/>
  </r>
  <r>
    <s v="Moccia"/>
    <x v="31"/>
  </r>
  <r>
    <s v="Trentin"/>
    <x v="31"/>
  </r>
  <r>
    <s v="Palombi"/>
    <x v="32"/>
  </r>
  <r>
    <s v="Pellico"/>
    <x v="14"/>
  </r>
  <r>
    <s v="Staglieno"/>
    <x v="28"/>
  </r>
  <r>
    <s v="Zito"/>
    <x v="33"/>
  </r>
  <r>
    <s v="Greco"/>
    <x v="21"/>
  </r>
  <r>
    <s v="Gianinazzi"/>
    <x v="21"/>
  </r>
  <r>
    <s v="Casadei"/>
    <x v="34"/>
  </r>
  <r>
    <s v="Varano"/>
    <x v="34"/>
  </r>
  <r>
    <s v="Pacillo"/>
    <x v="15"/>
  </r>
  <r>
    <s v="Tomasini"/>
    <x v="3"/>
  </r>
  <r>
    <s v="Lovato"/>
    <x v="26"/>
  </r>
  <r>
    <s v="Scotto"/>
    <x v="8"/>
  </r>
  <r>
    <s v="Canetta"/>
    <x v="8"/>
  </r>
  <r>
    <s v="Caetani"/>
    <x v="26"/>
  </r>
  <r>
    <s v="Lopresti"/>
    <x v="10"/>
  </r>
  <r>
    <s v="Petrucelli"/>
    <x v="22"/>
  </r>
  <r>
    <s v="Branciforte"/>
    <x v="35"/>
  </r>
  <r>
    <s v="Gangemi"/>
    <x v="26"/>
  </r>
  <r>
    <s v="Franscini"/>
    <x v="10"/>
  </r>
  <r>
    <s v="Blasi"/>
    <x v="23"/>
  </r>
  <r>
    <s v="Rosselli"/>
    <x v="17"/>
  </r>
  <r>
    <s v="Paltrinieri"/>
    <x v="36"/>
  </r>
  <r>
    <s v="Sbarbaro"/>
    <x v="3"/>
  </r>
  <r>
    <s v="Modugno"/>
    <x v="19"/>
  </r>
  <r>
    <s v="Paruta"/>
    <x v="24"/>
  </r>
  <r>
    <s v="Vento"/>
    <x v="30"/>
  </r>
  <r>
    <s v="Martucci"/>
    <x v="35"/>
  </r>
  <r>
    <s v="Anastasi"/>
    <x v="35"/>
  </r>
  <r>
    <s v="Pacomio"/>
    <x v="35"/>
  </r>
  <r>
    <s v="Rossetti"/>
    <x v="37"/>
  </r>
  <r>
    <s v="Miniati"/>
    <x v="22"/>
  </r>
  <r>
    <s v="Galtarossa"/>
    <x v="22"/>
  </r>
  <r>
    <s v="Callegari"/>
    <x v="4"/>
  </r>
  <r>
    <s v="Rubbia"/>
    <x v="26"/>
  </r>
  <r>
    <s v="Maderna"/>
    <x v="35"/>
  </r>
  <r>
    <s v="Agostini"/>
    <x v="6"/>
  </r>
  <r>
    <s v="Montesano"/>
    <x v="9"/>
  </r>
  <r>
    <s v="Gargallo"/>
    <x v="38"/>
  </r>
  <r>
    <s v="Trapani"/>
    <x v="36"/>
  </r>
  <r>
    <s v="Giolitti"/>
    <x v="38"/>
  </r>
  <r>
    <s v="Pacelli"/>
    <x v="38"/>
  </r>
  <r>
    <s v="Cilea"/>
    <x v="39"/>
  </r>
  <r>
    <s v="Cheda"/>
    <x v="40"/>
  </r>
  <r>
    <s v="Iadanza"/>
    <x v="7"/>
  </r>
  <r>
    <s v="Cundari"/>
    <x v="7"/>
  </r>
  <r>
    <s v="Acerbi"/>
    <x v="7"/>
  </r>
  <r>
    <s v="Antonini"/>
    <x v="19"/>
  </r>
  <r>
    <s v="Necci"/>
    <x v="11"/>
  </r>
  <r>
    <s v="Aulenti"/>
    <x v="30"/>
  </r>
  <r>
    <s v="Ferrara"/>
    <x v="15"/>
  </r>
  <r>
    <s v="Majorana"/>
    <x v="15"/>
  </r>
  <r>
    <s v="Virgilio"/>
    <x v="41"/>
  </r>
  <r>
    <s v="Bajamonti"/>
    <x v="36"/>
  </r>
  <r>
    <s v="Tolentino"/>
    <x v="40"/>
  </r>
  <r>
    <s v="Manolesso"/>
    <x v="5"/>
  </r>
  <r>
    <s v="Alfieri"/>
    <x v="5"/>
  </r>
  <r>
    <s v="Federico"/>
    <x v="5"/>
  </r>
  <r>
    <s v="Verri"/>
    <x v="18"/>
  </r>
  <r>
    <s v="Giulietti"/>
    <x v="30"/>
  </r>
  <r>
    <s v="Tozzo"/>
    <x v="0"/>
  </r>
  <r>
    <s v="Ceravolo"/>
    <x v="0"/>
  </r>
  <r>
    <s v="Respighi"/>
    <x v="35"/>
  </r>
  <r>
    <s v="Canil"/>
    <x v="16"/>
  </r>
  <r>
    <s v="Salgari"/>
    <x v="10"/>
  </r>
  <r>
    <s v="Maccanelli"/>
    <x v="39"/>
  </r>
  <r>
    <s v="Angiolello"/>
    <x v="32"/>
  </r>
  <r>
    <s v="Sagnelli"/>
    <x v="19"/>
  </r>
  <r>
    <s v="Stucchi"/>
    <x v="7"/>
  </r>
  <r>
    <s v="Tomaselli"/>
    <x v="38"/>
  </r>
  <r>
    <s v="Serraglio"/>
    <x v="3"/>
  </r>
  <r>
    <s v="Giannetti"/>
    <x v="31"/>
  </r>
  <r>
    <s v="Tonisto"/>
    <x v="31"/>
  </r>
  <r>
    <s v="Duodo"/>
    <x v="5"/>
  </r>
  <r>
    <s v="Cesaroni"/>
    <x v="25"/>
  </r>
  <r>
    <s v="Casini"/>
    <x v="26"/>
  </r>
  <r>
    <s v="Bramante"/>
    <x v="16"/>
  </r>
  <r>
    <s v="Palazzo"/>
    <x v="42"/>
  </r>
  <r>
    <s v="Fornaciari"/>
    <x v="31"/>
  </r>
  <r>
    <s v="Bellucci"/>
    <x v="31"/>
  </r>
  <r>
    <s v="Giannini"/>
    <x v="27"/>
  </r>
  <r>
    <s v="Cesaroni"/>
    <x v="23"/>
  </r>
  <r>
    <s v="Bellucci"/>
    <x v="23"/>
  </r>
  <r>
    <s v="Missoni"/>
    <x v="23"/>
  </r>
  <r>
    <s v="Detti"/>
    <x v="39"/>
  </r>
  <r>
    <s v="Vasari"/>
    <x v="39"/>
  </r>
  <r>
    <s v="Giannetti"/>
    <x v="39"/>
  </r>
  <r>
    <s v="Abate"/>
    <x v="36"/>
  </r>
  <r>
    <s v="Falloppio"/>
    <x v="36"/>
  </r>
  <r>
    <s v="Cicala"/>
    <x v="14"/>
  </r>
  <r>
    <s v="Bajamonti"/>
    <x v="11"/>
  </r>
  <r>
    <s v="Bonomo"/>
    <x v="11"/>
  </r>
  <r>
    <s v="Tozzo"/>
    <x v="2"/>
  </r>
  <r>
    <s v="Tosi"/>
    <x v="18"/>
  </r>
  <r>
    <s v="Cicilia"/>
    <x v="41"/>
  </r>
  <r>
    <s v="Omma"/>
    <x v="41"/>
  </r>
  <r>
    <s v="Luria"/>
    <x v="36"/>
  </r>
  <r>
    <s v="Fiorucci"/>
    <x v="23"/>
  </r>
  <r>
    <s v="Basso"/>
    <x v="25"/>
  </r>
  <r>
    <s v="Amato"/>
    <x v="25"/>
  </r>
  <r>
    <s v="Santi"/>
    <x v="25"/>
  </r>
  <r>
    <s v="Alonzi"/>
    <x v="8"/>
  </r>
  <r>
    <s v="Polizzi"/>
    <x v="2"/>
  </r>
  <r>
    <s v="Contarini"/>
    <x v="17"/>
  </r>
  <r>
    <s v="Scotti"/>
    <x v="17"/>
  </r>
  <r>
    <s v="Bonolis"/>
    <x v="41"/>
  </r>
  <r>
    <s v="Petrocelli"/>
    <x v="42"/>
  </r>
  <r>
    <s v="Bodoni"/>
    <x v="18"/>
  </r>
  <r>
    <s v="Lancisi"/>
    <x v="18"/>
  </r>
  <r>
    <s v="Trebbi"/>
    <x v="3"/>
  </r>
  <r>
    <s v="Navone"/>
    <x v="38"/>
  </r>
  <r>
    <s v="Battaglia"/>
    <x v="36"/>
  </r>
  <r>
    <s v="Depero"/>
    <x v="25"/>
  </r>
  <r>
    <s v="Fantini"/>
    <x v="23"/>
  </r>
  <r>
    <s v="Giannini"/>
    <x v="26"/>
  </r>
  <r>
    <s v="Nibali"/>
    <x v="26"/>
  </r>
  <r>
    <s v="Tarantini"/>
    <x v="26"/>
  </r>
  <r>
    <s v="Tamburi"/>
    <x v="21"/>
  </r>
  <r>
    <s v="Pepe"/>
    <x v="32"/>
  </r>
  <r>
    <s v="Petrassi"/>
    <x v="32"/>
  </r>
  <r>
    <s v="Ceravolo"/>
    <x v="21"/>
  </r>
  <r>
    <s v="Tanzini"/>
    <x v="21"/>
  </r>
  <r>
    <s v="Gussoni"/>
    <x v="9"/>
  </r>
  <r>
    <s v="Pacillo"/>
    <x v="9"/>
  </r>
  <r>
    <s v="Matteotti"/>
    <x v="35"/>
  </r>
  <r>
    <s v="Ferrabosco"/>
    <x v="43"/>
  </r>
  <r>
    <s v="Delle"/>
    <x v="32"/>
  </r>
  <r>
    <s v="Crespi"/>
    <x v="32"/>
  </r>
  <r>
    <s v="Flaiano"/>
    <x v="2"/>
  </r>
  <r>
    <s v="Marini"/>
    <x v="27"/>
  </r>
  <r>
    <s v="Bonino"/>
    <x v="29"/>
  </r>
  <r>
    <s v="Taccola"/>
    <x v="29"/>
  </r>
  <r>
    <s v="Iadanza"/>
    <x v="35"/>
  </r>
  <r>
    <s v="Riccardi"/>
    <x v="35"/>
  </r>
  <r>
    <s v="Carducci"/>
    <x v="35"/>
  </r>
  <r>
    <s v="Gelli"/>
    <x v="35"/>
  </r>
  <r>
    <s v="Calbo"/>
    <x v="14"/>
  </r>
  <r>
    <s v="Brunello"/>
    <x v="33"/>
  </r>
  <r>
    <s v="Lombardi"/>
    <x v="13"/>
  </r>
  <r>
    <s v="Omma"/>
    <x v="9"/>
  </r>
  <r>
    <s v="Bova"/>
    <x v="9"/>
  </r>
  <r>
    <s v="Iannuzzi"/>
    <x v="1"/>
  </r>
  <r>
    <s v="Satta"/>
    <x v="1"/>
  </r>
  <r>
    <s v="Mantegazza"/>
    <x v="28"/>
  </r>
  <r>
    <s v="Coardi"/>
    <x v="29"/>
  </r>
  <r>
    <s v="Soderini"/>
    <x v="15"/>
  </r>
  <r>
    <s v="Zichichi"/>
    <x v="34"/>
  </r>
  <r>
    <s v="Ramazzotti"/>
    <x v="13"/>
  </r>
  <r>
    <s v="Bazzi"/>
    <x v="13"/>
  </r>
  <r>
    <s v="Bombieri"/>
    <x v="13"/>
  </r>
  <r>
    <s v="Cicala"/>
    <x v="33"/>
  </r>
  <r>
    <s v="Alfonsi"/>
    <x v="16"/>
  </r>
  <r>
    <s v="Bombieri"/>
    <x v="1"/>
  </r>
  <r>
    <s v="Pascarella"/>
    <x v="33"/>
  </r>
  <r>
    <s v="Bonino"/>
    <x v="31"/>
  </r>
  <r>
    <s v="Camicione"/>
    <x v="31"/>
  </r>
  <r>
    <s v="Calarco"/>
    <x v="31"/>
  </r>
  <r>
    <s v="Bandello"/>
    <x v="31"/>
  </r>
  <r>
    <s v="Cimini"/>
    <x v="36"/>
  </r>
  <r>
    <s v="Proietti"/>
    <x v="20"/>
  </r>
  <r>
    <s v="Visintini"/>
    <x v="1"/>
  </r>
  <r>
    <s v="Iannotti"/>
    <x v="9"/>
  </r>
  <r>
    <s v="Pisani"/>
    <x v="43"/>
  </r>
  <r>
    <s v="Fo"/>
    <x v="43"/>
  </r>
  <r>
    <s v="Bompiani"/>
    <x v="15"/>
  </r>
  <r>
    <s v="Micca"/>
    <x v="15"/>
  </r>
  <r>
    <s v="Foletti"/>
    <x v="15"/>
  </r>
  <r>
    <s v="Santorio"/>
    <x v="12"/>
  </r>
  <r>
    <s v="Zola"/>
    <x v="39"/>
  </r>
  <r>
    <s v="Grimani"/>
    <x v="10"/>
  </r>
  <r>
    <s v="Zaccagnini"/>
    <x v="7"/>
  </r>
  <r>
    <s v="Micca"/>
    <x v="35"/>
  </r>
  <r>
    <s v="Dallapé"/>
    <x v="43"/>
  </r>
  <r>
    <s v="Garobbio"/>
    <x v="25"/>
  </r>
  <r>
    <s v="Scialpi"/>
    <x v="44"/>
  </r>
  <r>
    <s v="Camilleri"/>
    <x v="44"/>
  </r>
  <r>
    <s v="Filippelli"/>
    <x v="33"/>
  </r>
  <r>
    <s v="Campano"/>
    <x v="33"/>
  </r>
  <r>
    <s v="Romiti"/>
    <x v="33"/>
  </r>
  <r>
    <s v="Piccio"/>
    <x v="12"/>
  </r>
  <r>
    <s v="Schicchi"/>
    <x v="14"/>
  </r>
  <r>
    <s v="Jovinelli"/>
    <x v="14"/>
  </r>
  <r>
    <s v="Viviani"/>
    <x v="37"/>
  </r>
  <r>
    <s v="Ferrara"/>
    <x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7D8F7-B926-405E-A703-C5C2FBEBAD2E}" name="Tabella pivot23" cacheId="5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rowHeaderCaption="Età">
  <location ref="A12:B58" firstHeaderRow="1" firstDataRow="1" firstDataCol="1"/>
  <pivotFields count="2">
    <pivotField dataField="1" showAll="0"/>
    <pivotField axis="axisRow" showAll="0">
      <items count="46">
        <item x="10"/>
        <item x="8"/>
        <item x="1"/>
        <item x="44"/>
        <item x="0"/>
        <item x="21"/>
        <item x="41"/>
        <item x="7"/>
        <item x="42"/>
        <item x="31"/>
        <item x="36"/>
        <item x="22"/>
        <item x="3"/>
        <item x="33"/>
        <item x="34"/>
        <item x="26"/>
        <item x="13"/>
        <item x="38"/>
        <item x="24"/>
        <item x="27"/>
        <item x="11"/>
        <item x="28"/>
        <item x="35"/>
        <item x="39"/>
        <item x="40"/>
        <item x="32"/>
        <item x="12"/>
        <item x="30"/>
        <item x="6"/>
        <item x="17"/>
        <item x="4"/>
        <item x="15"/>
        <item x="16"/>
        <item x="25"/>
        <item x="43"/>
        <item x="14"/>
        <item x="29"/>
        <item x="20"/>
        <item x="18"/>
        <item x="37"/>
        <item x="19"/>
        <item x="23"/>
        <item x="5"/>
        <item x="2"/>
        <item x="9"/>
        <item t="default"/>
      </items>
    </pivotField>
  </pivotFields>
  <rowFields count="1">
    <field x="1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dataFields count="1">
    <dataField name="Numero dipendenti" fld="0" subtotal="count" baseField="1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EF67D6-B65F-4C15-A742-631035C25992}" name="Tabella pivot11" cacheId="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31" rowHeaderCaption="Titolo di studio">
  <location ref="E16:F22" firstHeaderRow="1" firstDataRow="1" firstDataCol="1"/>
  <pivotFields count="7">
    <pivotField dataField="1" subtotalTop="0" showAll="0"/>
    <pivotField subtotalTop="0" showAll="0"/>
    <pivotField subtotalTop="0" showAll="0"/>
    <pivotField subtotalTop="0" showAll="0"/>
    <pivotField axis="axisRow" subtotalTop="0" showAll="0">
      <items count="6">
        <item sd="0" x="2"/>
        <item sd="0" x="1"/>
        <item sd="0" x="4"/>
        <item sd="0" x="0"/>
        <item sd="0" x="3"/>
        <item t="default"/>
      </items>
    </pivotField>
    <pivotField subtotalTop="0" showAll="0">
      <items count="4">
        <item x="2"/>
        <item x="1"/>
        <item h="1" x="0"/>
        <item t="default"/>
      </items>
    </pivotField>
    <pivotField subtotalTop="0" showAll="0">
      <items count="11">
        <item sd="0" x="9"/>
        <item sd="0" x="2"/>
        <item sd="0" x="8"/>
        <item x="5"/>
        <item x="4"/>
        <item x="6"/>
        <item x="7"/>
        <item x="3"/>
        <item x="0"/>
        <item x="1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umero dipendenti" fld="0" subtotal="count" baseField="4" baseItem="0"/>
  </dataFields>
  <formats count="5">
    <format dxfId="14">
      <pivotArea type="all" dataOnly="0" outline="0" fieldPosition="0"/>
    </format>
    <format dxfId="15">
      <pivotArea outline="0" collapsedLevelsAreSubtotals="1" fieldPosition="0"/>
    </format>
    <format dxfId="16">
      <pivotArea field="4" type="button" dataOnly="0" labelOnly="1" outline="0" axis="axisRow" fieldPosition="0"/>
    </format>
    <format dxfId="17">
      <pivotArea dataOnly="0" labelOnly="1" grandRow="1" outline="0" fieldPosition="0"/>
    </format>
    <format dxfId="18">
      <pivotArea dataOnly="0" labelOnly="1" outline="0" axis="axisValues" fieldPosition="0"/>
    </format>
  </formats>
  <chartFormats count="15">
    <chartFormat chart="2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0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0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0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0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9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9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9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9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CCAE4E-7D88-4654-90C0-076126F2B937}" name="Tabella pivot10" cacheId="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0" rowHeaderCaption="Porfessione">
  <location ref="E3:F14" firstHeaderRow="1" firstDataRow="1" firstDataCol="1"/>
  <pivotFields count="7">
    <pivotField dataField="1" subtotalTop="0" showAll="0"/>
    <pivotField subtotalTop="0" showAll="0"/>
    <pivotField subtotalTop="0" showAll="0"/>
    <pivotField subtotalTop="0" showAll="0"/>
    <pivotField subtotalTop="0" showAll="0">
      <items count="6">
        <item sd="0" x="2"/>
        <item sd="0" x="1"/>
        <item sd="0" x="4"/>
        <item sd="0" x="0"/>
        <item sd="0" x="3"/>
        <item t="default"/>
      </items>
    </pivotField>
    <pivotField subtotalTop="0" showAll="0">
      <items count="4">
        <item x="2"/>
        <item x="1"/>
        <item h="1" x="0"/>
        <item t="default"/>
      </items>
    </pivotField>
    <pivotField axis="axisRow" subtotalTop="0" showAll="0">
      <items count="11">
        <item sd="0" x="9"/>
        <item sd="0" x="2"/>
        <item sd="0" x="8"/>
        <item x="5"/>
        <item x="4"/>
        <item x="6"/>
        <item x="7"/>
        <item x="3"/>
        <item x="0"/>
        <item x="1"/>
        <item t="default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Numero dipendenti" fld="0" subtotal="count" baseField="4" baseItem="0"/>
  </dataFields>
  <formats count="5">
    <format dxfId="19">
      <pivotArea type="all" dataOnly="0" outline="0" fieldPosition="0"/>
    </format>
    <format dxfId="20">
      <pivotArea outline="0" collapsedLevelsAreSubtotals="1" fieldPosition="0"/>
    </format>
    <format dxfId="21">
      <pivotArea field="4" type="button" dataOnly="0" labelOnly="1" outline="0"/>
    </format>
    <format dxfId="22">
      <pivotArea dataOnly="0" labelOnly="1" grandRow="1" outline="0" fieldPosition="0"/>
    </format>
    <format dxfId="23">
      <pivotArea dataOnly="0" labelOnly="1" outline="0" axis="axisValues" fieldPosition="0"/>
    </format>
  </formats>
  <chartFormats count="1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5DC0B9-D127-4936-B2E4-7787D9E8DB63}" name="Tabella pivot1" cacheId="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7" rowHeaderCaption="Titolo di studio">
  <location ref="A3:B9" firstHeaderRow="1" firstDataRow="1" firstDataCol="1"/>
  <pivotFields count="7">
    <pivotField dataField="1" subtotalTop="0" showAll="0"/>
    <pivotField subtotalTop="0" showAll="0"/>
    <pivotField subtotalTop="0" showAll="0"/>
    <pivotField subtotalTop="0" showAll="0"/>
    <pivotField axis="axisRow" subtotalTop="0" showAll="0">
      <items count="6">
        <item sd="0" x="2"/>
        <item sd="0" x="1"/>
        <item sd="0" x="4"/>
        <item sd="0" x="0"/>
        <item sd="0" x="3"/>
        <item t="default"/>
      </items>
    </pivotField>
    <pivotField subtotalTop="0" showAll="0">
      <items count="4">
        <item x="2"/>
        <item x="1"/>
        <item h="1" x="0"/>
        <item t="default"/>
      </items>
    </pivotField>
    <pivotField axis="axisRow" subtotalTop="0" showAll="0">
      <items count="11">
        <item sd="0" x="9"/>
        <item sd="0" x="2"/>
        <item sd="0" x="8"/>
        <item x="5"/>
        <item x="4"/>
        <item x="6"/>
        <item x="7"/>
        <item x="3"/>
        <item x="0"/>
        <item x="1"/>
        <item t="default"/>
      </items>
    </pivotField>
  </pivotFields>
  <rowFields count="2">
    <field x="4"/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umero dipendenti" fld="0" subtotal="count" baseField="4" baseItem="0"/>
  </dataFields>
  <formats count="5">
    <format dxfId="9">
      <pivotArea type="all" dataOnly="0" outline="0" fieldPosition="0"/>
    </format>
    <format dxfId="10">
      <pivotArea outline="0" collapsedLevelsAreSubtotals="1" fieldPosition="0"/>
    </format>
    <format dxfId="11">
      <pivotArea field="4" type="button" dataOnly="0" labelOnly="1" outline="0" axis="axisRow" fieldPosition="0"/>
    </format>
    <format dxfId="12">
      <pivotArea dataOnly="0" labelOnly="1" grandRow="1" outline="0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1"/>
  <sheetViews>
    <sheetView workbookViewId="0">
      <selection activeCell="A160" sqref="A160"/>
    </sheetView>
  </sheetViews>
  <sheetFormatPr defaultRowHeight="15" x14ac:dyDescent="0.25"/>
  <cols>
    <col min="1" max="1" width="12.7109375" bestFit="1" customWidth="1"/>
    <col min="2" max="2" width="11.42578125" bestFit="1" customWidth="1"/>
    <col min="3" max="3" width="3.7109375" bestFit="1" customWidth="1"/>
    <col min="4" max="4" width="26.140625" bestFit="1" customWidth="1"/>
    <col min="5" max="5" width="67.5703125" bestFit="1" customWidth="1"/>
    <col min="6" max="6" width="24.28515625" bestFit="1" customWidth="1"/>
    <col min="7" max="8" width="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>
        <v>42</v>
      </c>
      <c r="D2" s="2" t="s">
        <v>8</v>
      </c>
      <c r="E2" s="2" t="s">
        <v>9</v>
      </c>
      <c r="F2" s="2" t="s">
        <v>10</v>
      </c>
    </row>
    <row r="3" spans="1:6" x14ac:dyDescent="0.25">
      <c r="A3" s="2" t="s">
        <v>11</v>
      </c>
      <c r="B3" s="2" t="s">
        <v>12</v>
      </c>
      <c r="C3" s="2">
        <v>29</v>
      </c>
      <c r="D3" s="2" t="s">
        <v>13</v>
      </c>
      <c r="E3" s="2" t="s">
        <v>14</v>
      </c>
      <c r="F3" s="2" t="s">
        <v>15</v>
      </c>
    </row>
    <row r="4" spans="1:6" x14ac:dyDescent="0.25">
      <c r="A4" s="2" t="s">
        <v>16</v>
      </c>
      <c r="B4" s="2" t="s">
        <v>17</v>
      </c>
      <c r="C4" s="2">
        <v>52</v>
      </c>
      <c r="D4" s="2" t="s">
        <v>18</v>
      </c>
      <c r="E4" s="2" t="s">
        <v>19</v>
      </c>
      <c r="F4" s="2" t="s">
        <v>20</v>
      </c>
    </row>
    <row r="5" spans="1:6" x14ac:dyDescent="0.25">
      <c r="A5" s="2" t="s">
        <v>21</v>
      </c>
      <c r="B5" s="2" t="s">
        <v>22</v>
      </c>
      <c r="C5" s="2">
        <v>56</v>
      </c>
      <c r="D5" s="2" t="s">
        <v>8</v>
      </c>
      <c r="E5" s="2" t="s">
        <v>23</v>
      </c>
      <c r="F5" s="2" t="s">
        <v>24</v>
      </c>
    </row>
    <row r="6" spans="1:6" x14ac:dyDescent="0.25">
      <c r="A6" s="2" t="s">
        <v>25</v>
      </c>
      <c r="B6" s="2" t="s">
        <v>26</v>
      </c>
      <c r="C6" s="2">
        <v>45</v>
      </c>
      <c r="D6" s="2" t="s">
        <v>27</v>
      </c>
      <c r="E6" s="2" t="s">
        <v>28</v>
      </c>
      <c r="F6" s="2" t="s">
        <v>24</v>
      </c>
    </row>
    <row r="7" spans="1:6" x14ac:dyDescent="0.25">
      <c r="A7" s="2" t="s">
        <v>29</v>
      </c>
      <c r="B7" s="2" t="s">
        <v>30</v>
      </c>
      <c r="C7" s="2">
        <v>21</v>
      </c>
      <c r="D7" s="2" t="s">
        <v>13</v>
      </c>
      <c r="E7" s="2" t="s">
        <v>31</v>
      </c>
      <c r="F7" s="2" t="s">
        <v>15</v>
      </c>
    </row>
    <row r="8" spans="1:6" x14ac:dyDescent="0.25">
      <c r="A8" s="2" t="s">
        <v>32</v>
      </c>
      <c r="B8" s="2" t="s">
        <v>33</v>
      </c>
      <c r="C8" s="2">
        <v>35</v>
      </c>
      <c r="D8" s="2" t="s">
        <v>18</v>
      </c>
      <c r="E8" s="2" t="s">
        <v>34</v>
      </c>
      <c r="F8" s="2" t="s">
        <v>35</v>
      </c>
    </row>
    <row r="9" spans="1:6" x14ac:dyDescent="0.25">
      <c r="A9" s="2" t="s">
        <v>36</v>
      </c>
      <c r="B9" s="2" t="s">
        <v>37</v>
      </c>
      <c r="C9" s="2">
        <v>33</v>
      </c>
      <c r="D9" s="2" t="s">
        <v>18</v>
      </c>
      <c r="E9" s="2" t="s">
        <v>38</v>
      </c>
      <c r="F9" s="2" t="s">
        <v>39</v>
      </c>
    </row>
    <row r="10" spans="1:6" x14ac:dyDescent="0.25">
      <c r="A10" s="2" t="s">
        <v>40</v>
      </c>
      <c r="B10" s="2" t="s">
        <v>41</v>
      </c>
      <c r="C10" s="2">
        <v>51</v>
      </c>
      <c r="D10" s="2" t="s">
        <v>42</v>
      </c>
      <c r="E10" s="2" t="s">
        <v>43</v>
      </c>
      <c r="F10" s="2" t="s">
        <v>24</v>
      </c>
    </row>
    <row r="11" spans="1:6" x14ac:dyDescent="0.25">
      <c r="A11" s="2" t="s">
        <v>44</v>
      </c>
      <c r="B11" s="2" t="s">
        <v>45</v>
      </c>
      <c r="C11" s="2">
        <v>42</v>
      </c>
      <c r="D11" s="2" t="s">
        <v>8</v>
      </c>
      <c r="E11" s="2" t="s">
        <v>46</v>
      </c>
      <c r="F11" s="2" t="s">
        <v>47</v>
      </c>
    </row>
    <row r="12" spans="1:6" x14ac:dyDescent="0.25">
      <c r="A12" s="2" t="s">
        <v>48</v>
      </c>
      <c r="B12" s="2" t="s">
        <v>49</v>
      </c>
      <c r="C12" s="2">
        <v>46</v>
      </c>
      <c r="D12" s="2" t="s">
        <v>8</v>
      </c>
      <c r="E12" s="2" t="s">
        <v>50</v>
      </c>
      <c r="F12" s="2" t="s">
        <v>47</v>
      </c>
    </row>
    <row r="13" spans="1:6" x14ac:dyDescent="0.25">
      <c r="A13" s="2" t="s">
        <v>51</v>
      </c>
      <c r="B13" s="2" t="s">
        <v>52</v>
      </c>
      <c r="C13" s="2">
        <v>54</v>
      </c>
      <c r="D13" s="2" t="s">
        <v>27</v>
      </c>
      <c r="E13" s="2" t="s">
        <v>53</v>
      </c>
      <c r="F13" s="2" t="s">
        <v>35</v>
      </c>
    </row>
    <row r="14" spans="1:6" x14ac:dyDescent="0.25">
      <c r="A14" s="2" t="s">
        <v>54</v>
      </c>
      <c r="B14" s="2" t="s">
        <v>55</v>
      </c>
      <c r="C14" s="2">
        <v>21</v>
      </c>
      <c r="D14" s="2" t="s">
        <v>27</v>
      </c>
      <c r="E14" s="2" t="s">
        <v>56</v>
      </c>
      <c r="F14" s="2" t="s">
        <v>10</v>
      </c>
    </row>
    <row r="15" spans="1:6" x14ac:dyDescent="0.25">
      <c r="A15" s="2" t="s">
        <v>57</v>
      </c>
      <c r="B15" s="2" t="s">
        <v>58</v>
      </c>
      <c r="C15" s="2">
        <v>36</v>
      </c>
      <c r="D15" s="2" t="s">
        <v>13</v>
      </c>
      <c r="E15" s="2" t="s">
        <v>59</v>
      </c>
      <c r="F15" s="2" t="s">
        <v>15</v>
      </c>
    </row>
    <row r="16" spans="1:6" x14ac:dyDescent="0.25">
      <c r="A16" s="2" t="s">
        <v>60</v>
      </c>
      <c r="B16" s="2" t="s">
        <v>61</v>
      </c>
      <c r="C16" s="2">
        <v>29</v>
      </c>
      <c r="D16" s="2" t="s">
        <v>27</v>
      </c>
      <c r="E16" s="2" t="s">
        <v>62</v>
      </c>
      <c r="F16" s="2" t="s">
        <v>24</v>
      </c>
    </row>
    <row r="17" spans="1:6" x14ac:dyDescent="0.25">
      <c r="A17" s="2" t="s">
        <v>63</v>
      </c>
      <c r="B17" s="2" t="s">
        <v>64</v>
      </c>
      <c r="C17" s="2">
        <v>51</v>
      </c>
      <c r="D17" s="2" t="s">
        <v>27</v>
      </c>
      <c r="E17" s="2" t="s">
        <v>65</v>
      </c>
      <c r="F17" s="2" t="s">
        <v>39</v>
      </c>
    </row>
    <row r="18" spans="1:6" x14ac:dyDescent="0.25">
      <c r="A18" s="2" t="s">
        <v>66</v>
      </c>
      <c r="B18" s="2" t="s">
        <v>67</v>
      </c>
      <c r="C18" s="2">
        <v>49</v>
      </c>
      <c r="D18" s="2" t="s">
        <v>42</v>
      </c>
      <c r="E18" s="2" t="s">
        <v>68</v>
      </c>
      <c r="F18" s="2" t="s">
        <v>10</v>
      </c>
    </row>
    <row r="19" spans="1:6" x14ac:dyDescent="0.25">
      <c r="A19" s="2" t="s">
        <v>69</v>
      </c>
      <c r="B19" s="2" t="s">
        <v>70</v>
      </c>
      <c r="C19" s="2">
        <v>50</v>
      </c>
      <c r="D19" s="2" t="s">
        <v>8</v>
      </c>
      <c r="E19" s="2" t="s">
        <v>71</v>
      </c>
      <c r="F19" s="2" t="s">
        <v>47</v>
      </c>
    </row>
    <row r="20" spans="1:6" x14ac:dyDescent="0.25">
      <c r="A20" s="2" t="s">
        <v>72</v>
      </c>
      <c r="B20" s="2" t="s">
        <v>73</v>
      </c>
      <c r="C20" s="2">
        <v>27</v>
      </c>
      <c r="D20" s="2" t="s">
        <v>13</v>
      </c>
      <c r="E20" s="2" t="s">
        <v>74</v>
      </c>
      <c r="F20" s="2" t="s">
        <v>20</v>
      </c>
    </row>
    <row r="21" spans="1:6" x14ac:dyDescent="0.25">
      <c r="A21" s="2" t="s">
        <v>75</v>
      </c>
      <c r="B21" s="2" t="s">
        <v>76</v>
      </c>
      <c r="C21" s="2">
        <v>26</v>
      </c>
      <c r="D21" s="2" t="s">
        <v>13</v>
      </c>
      <c r="E21" s="2" t="s">
        <v>77</v>
      </c>
      <c r="F21" s="2" t="s">
        <v>15</v>
      </c>
    </row>
    <row r="22" spans="1:6" x14ac:dyDescent="0.25">
      <c r="A22" s="2" t="s">
        <v>78</v>
      </c>
      <c r="B22" s="2" t="s">
        <v>79</v>
      </c>
      <c r="C22" s="2">
        <v>63</v>
      </c>
      <c r="D22" s="2" t="s">
        <v>27</v>
      </c>
      <c r="E22" s="2" t="s">
        <v>80</v>
      </c>
      <c r="F22" s="2" t="s">
        <v>24</v>
      </c>
    </row>
    <row r="23" spans="1:6" x14ac:dyDescent="0.25">
      <c r="A23" s="2" t="s">
        <v>81</v>
      </c>
      <c r="B23" s="2" t="s">
        <v>82</v>
      </c>
      <c r="C23" s="2">
        <v>62</v>
      </c>
      <c r="D23" s="2" t="s">
        <v>18</v>
      </c>
      <c r="E23" s="2" t="s">
        <v>83</v>
      </c>
      <c r="F23" s="2" t="s">
        <v>35</v>
      </c>
    </row>
    <row r="24" spans="1:6" x14ac:dyDescent="0.25">
      <c r="A24" s="2" t="s">
        <v>84</v>
      </c>
      <c r="B24" s="2" t="s">
        <v>85</v>
      </c>
      <c r="C24" s="2">
        <v>43</v>
      </c>
      <c r="D24" s="2" t="s">
        <v>27</v>
      </c>
      <c r="E24" s="2" t="s">
        <v>86</v>
      </c>
      <c r="F24" s="2" t="s">
        <v>20</v>
      </c>
    </row>
    <row r="25" spans="1:6" x14ac:dyDescent="0.25">
      <c r="A25" s="2" t="s">
        <v>87</v>
      </c>
      <c r="B25" s="2" t="s">
        <v>61</v>
      </c>
      <c r="C25" s="2">
        <v>57</v>
      </c>
      <c r="D25" s="2" t="s">
        <v>42</v>
      </c>
      <c r="E25" s="2" t="s">
        <v>88</v>
      </c>
      <c r="F25" s="2" t="s">
        <v>24</v>
      </c>
    </row>
    <row r="26" spans="1:6" x14ac:dyDescent="0.25">
      <c r="A26" s="2" t="s">
        <v>89</v>
      </c>
      <c r="B26" s="2" t="s">
        <v>90</v>
      </c>
      <c r="C26" s="2">
        <v>47</v>
      </c>
      <c r="D26" s="2" t="s">
        <v>18</v>
      </c>
      <c r="E26" s="2" t="s">
        <v>91</v>
      </c>
      <c r="F26" s="2" t="s">
        <v>20</v>
      </c>
    </row>
    <row r="27" spans="1:6" x14ac:dyDescent="0.25">
      <c r="A27" s="2" t="s">
        <v>92</v>
      </c>
      <c r="B27" s="2" t="s">
        <v>93</v>
      </c>
      <c r="C27" s="2">
        <v>40</v>
      </c>
      <c r="D27" s="2" t="s">
        <v>27</v>
      </c>
      <c r="E27" s="2" t="s">
        <v>94</v>
      </c>
      <c r="F27" s="2" t="s">
        <v>47</v>
      </c>
    </row>
    <row r="28" spans="1:6" x14ac:dyDescent="0.25">
      <c r="A28" s="2" t="s">
        <v>95</v>
      </c>
      <c r="B28" s="2" t="s">
        <v>96</v>
      </c>
      <c r="C28" s="2">
        <v>51</v>
      </c>
      <c r="D28" s="2" t="s">
        <v>13</v>
      </c>
      <c r="E28" s="2" t="s">
        <v>97</v>
      </c>
      <c r="F28" s="2" t="s">
        <v>15</v>
      </c>
    </row>
    <row r="29" spans="1:6" x14ac:dyDescent="0.25">
      <c r="A29" s="2" t="s">
        <v>98</v>
      </c>
      <c r="B29" s="2" t="s">
        <v>99</v>
      </c>
      <c r="C29" s="2">
        <v>55</v>
      </c>
      <c r="D29" s="2" t="s">
        <v>18</v>
      </c>
      <c r="E29" s="2" t="s">
        <v>100</v>
      </c>
      <c r="F29" s="2" t="s">
        <v>35</v>
      </c>
    </row>
    <row r="30" spans="1:6" x14ac:dyDescent="0.25">
      <c r="A30" s="2" t="s">
        <v>101</v>
      </c>
      <c r="B30" s="2" t="s">
        <v>102</v>
      </c>
      <c r="C30" s="2">
        <v>59</v>
      </c>
      <c r="D30" s="2" t="s">
        <v>18</v>
      </c>
      <c r="E30" s="2" t="s">
        <v>103</v>
      </c>
      <c r="F30" s="2" t="s">
        <v>10</v>
      </c>
    </row>
    <row r="31" spans="1:6" x14ac:dyDescent="0.25">
      <c r="A31" s="2" t="s">
        <v>104</v>
      </c>
      <c r="B31" s="2" t="s">
        <v>105</v>
      </c>
      <c r="C31" s="2">
        <v>46</v>
      </c>
      <c r="D31" s="2" t="s">
        <v>18</v>
      </c>
      <c r="E31" s="2" t="s">
        <v>106</v>
      </c>
      <c r="F31" s="2" t="s">
        <v>39</v>
      </c>
    </row>
    <row r="32" spans="1:6" x14ac:dyDescent="0.25">
      <c r="A32" s="2" t="s">
        <v>107</v>
      </c>
      <c r="B32" s="2" t="s">
        <v>108</v>
      </c>
      <c r="C32" s="2">
        <v>42</v>
      </c>
      <c r="D32" s="2" t="s">
        <v>18</v>
      </c>
      <c r="E32" s="2" t="s">
        <v>109</v>
      </c>
      <c r="F32" s="2" t="s">
        <v>110</v>
      </c>
    </row>
    <row r="33" spans="1:6" x14ac:dyDescent="0.25">
      <c r="A33" s="2" t="s">
        <v>111</v>
      </c>
      <c r="B33" s="2" t="s">
        <v>112</v>
      </c>
      <c r="C33" s="2">
        <v>45</v>
      </c>
      <c r="D33" s="2" t="s">
        <v>42</v>
      </c>
      <c r="E33" s="2" t="s">
        <v>113</v>
      </c>
      <c r="F33" s="2" t="s">
        <v>39</v>
      </c>
    </row>
    <row r="34" spans="1:6" x14ac:dyDescent="0.25">
      <c r="A34" s="2" t="s">
        <v>114</v>
      </c>
      <c r="B34" s="2" t="s">
        <v>115</v>
      </c>
      <c r="C34" s="2">
        <v>62</v>
      </c>
      <c r="D34" s="2" t="s">
        <v>8</v>
      </c>
      <c r="E34" s="2" t="s">
        <v>116</v>
      </c>
      <c r="F34" s="2" t="s">
        <v>117</v>
      </c>
    </row>
    <row r="35" spans="1:6" x14ac:dyDescent="0.25">
      <c r="A35" s="2" t="s">
        <v>118</v>
      </c>
      <c r="B35" s="2" t="s">
        <v>119</v>
      </c>
      <c r="C35" s="2">
        <v>25</v>
      </c>
      <c r="D35" s="2" t="s">
        <v>42</v>
      </c>
      <c r="E35" s="2" t="s">
        <v>120</v>
      </c>
      <c r="F35" s="2" t="s">
        <v>39</v>
      </c>
    </row>
    <row r="36" spans="1:6" x14ac:dyDescent="0.25">
      <c r="A36" s="2" t="s">
        <v>121</v>
      </c>
      <c r="B36" s="2" t="s">
        <v>122</v>
      </c>
      <c r="C36" s="2">
        <v>22</v>
      </c>
      <c r="D36" s="2" t="s">
        <v>13</v>
      </c>
      <c r="E36" s="2" t="s">
        <v>123</v>
      </c>
      <c r="F36" s="2" t="s">
        <v>10</v>
      </c>
    </row>
    <row r="37" spans="1:6" x14ac:dyDescent="0.25">
      <c r="A37" s="2" t="s">
        <v>124</v>
      </c>
      <c r="B37" s="2" t="s">
        <v>125</v>
      </c>
      <c r="C37" s="2">
        <v>20</v>
      </c>
      <c r="D37" s="2" t="s">
        <v>27</v>
      </c>
      <c r="E37" s="2" t="s">
        <v>126</v>
      </c>
      <c r="F37" s="2" t="s">
        <v>127</v>
      </c>
    </row>
    <row r="38" spans="1:6" x14ac:dyDescent="0.25">
      <c r="A38" s="2" t="s">
        <v>128</v>
      </c>
      <c r="B38" s="2" t="s">
        <v>129</v>
      </c>
      <c r="C38" s="2">
        <v>43</v>
      </c>
      <c r="D38" s="2" t="s">
        <v>27</v>
      </c>
      <c r="E38" s="2" t="s">
        <v>130</v>
      </c>
      <c r="F38" s="2" t="s">
        <v>10</v>
      </c>
    </row>
    <row r="39" spans="1:6" x14ac:dyDescent="0.25">
      <c r="A39" s="2" t="s">
        <v>131</v>
      </c>
      <c r="B39" s="2" t="s">
        <v>132</v>
      </c>
      <c r="C39" s="2">
        <v>65</v>
      </c>
      <c r="D39" s="2" t="s">
        <v>42</v>
      </c>
      <c r="E39" s="2" t="s">
        <v>133</v>
      </c>
      <c r="F39" s="2" t="s">
        <v>117</v>
      </c>
    </row>
    <row r="40" spans="1:6" x14ac:dyDescent="0.25">
      <c r="A40" s="2" t="s">
        <v>134</v>
      </c>
      <c r="B40" s="2" t="s">
        <v>135</v>
      </c>
      <c r="C40" s="2">
        <v>56</v>
      </c>
      <c r="D40" s="2" t="s">
        <v>27</v>
      </c>
      <c r="E40" s="2" t="s">
        <v>136</v>
      </c>
      <c r="F40" s="2" t="s">
        <v>15</v>
      </c>
    </row>
    <row r="41" spans="1:6" x14ac:dyDescent="0.25">
      <c r="A41" s="2" t="s">
        <v>137</v>
      </c>
      <c r="B41" s="2" t="s">
        <v>138</v>
      </c>
      <c r="C41" s="2">
        <v>35</v>
      </c>
      <c r="D41" s="2" t="s">
        <v>42</v>
      </c>
      <c r="E41" s="2" t="s">
        <v>139</v>
      </c>
      <c r="F41" s="2" t="s">
        <v>24</v>
      </c>
    </row>
    <row r="42" spans="1:6" x14ac:dyDescent="0.25">
      <c r="A42" s="2" t="s">
        <v>140</v>
      </c>
      <c r="B42" s="2" t="s">
        <v>141</v>
      </c>
      <c r="C42" s="2">
        <v>28</v>
      </c>
      <c r="D42" s="2" t="s">
        <v>8</v>
      </c>
      <c r="E42" s="2" t="s">
        <v>142</v>
      </c>
      <c r="F42" s="2" t="s">
        <v>127</v>
      </c>
    </row>
    <row r="43" spans="1:6" x14ac:dyDescent="0.25">
      <c r="A43" s="2" t="s">
        <v>143</v>
      </c>
      <c r="B43" s="2" t="s">
        <v>95</v>
      </c>
      <c r="C43" s="2">
        <v>25</v>
      </c>
      <c r="D43" s="2" t="s">
        <v>27</v>
      </c>
      <c r="E43" s="2" t="s">
        <v>144</v>
      </c>
      <c r="F43" s="2" t="s">
        <v>110</v>
      </c>
    </row>
    <row r="44" spans="1:6" x14ac:dyDescent="0.25">
      <c r="A44" s="2" t="s">
        <v>145</v>
      </c>
      <c r="B44" s="2" t="s">
        <v>146</v>
      </c>
      <c r="C44" s="2">
        <v>31</v>
      </c>
      <c r="D44" s="2" t="s">
        <v>8</v>
      </c>
      <c r="E44" s="2" t="s">
        <v>147</v>
      </c>
      <c r="F44" s="2" t="s">
        <v>127</v>
      </c>
    </row>
    <row r="45" spans="1:6" x14ac:dyDescent="0.25">
      <c r="A45" s="2" t="s">
        <v>148</v>
      </c>
      <c r="B45" s="2" t="s">
        <v>149</v>
      </c>
      <c r="C45" s="2">
        <v>57</v>
      </c>
      <c r="D45" s="2" t="s">
        <v>18</v>
      </c>
      <c r="E45" s="2" t="s">
        <v>150</v>
      </c>
      <c r="F45" s="2" t="s">
        <v>15</v>
      </c>
    </row>
    <row r="46" spans="1:6" x14ac:dyDescent="0.25">
      <c r="A46" s="2" t="s">
        <v>151</v>
      </c>
      <c r="B46" s="2" t="s">
        <v>79</v>
      </c>
      <c r="C46" s="2">
        <v>32</v>
      </c>
      <c r="D46" s="2" t="s">
        <v>42</v>
      </c>
      <c r="E46" s="2" t="s">
        <v>152</v>
      </c>
      <c r="F46" s="2" t="s">
        <v>110</v>
      </c>
    </row>
    <row r="47" spans="1:6" x14ac:dyDescent="0.25">
      <c r="A47" s="2" t="s">
        <v>51</v>
      </c>
      <c r="B47" s="2" t="s">
        <v>153</v>
      </c>
      <c r="C47" s="2">
        <v>28</v>
      </c>
      <c r="D47" s="2" t="s">
        <v>8</v>
      </c>
      <c r="E47" s="2" t="s">
        <v>154</v>
      </c>
      <c r="F47" s="2" t="s">
        <v>110</v>
      </c>
    </row>
    <row r="48" spans="1:6" x14ac:dyDescent="0.25">
      <c r="A48" s="2" t="s">
        <v>155</v>
      </c>
      <c r="B48" s="2" t="s">
        <v>156</v>
      </c>
      <c r="C48" s="2">
        <v>49</v>
      </c>
      <c r="D48" s="2" t="s">
        <v>13</v>
      </c>
      <c r="E48" s="2" t="s">
        <v>157</v>
      </c>
      <c r="F48" s="2" t="s">
        <v>47</v>
      </c>
    </row>
    <row r="49" spans="1:6" x14ac:dyDescent="0.25">
      <c r="A49" s="2" t="s">
        <v>84</v>
      </c>
      <c r="B49" s="2" t="s">
        <v>158</v>
      </c>
      <c r="C49" s="2">
        <v>43</v>
      </c>
      <c r="D49" s="2" t="s">
        <v>13</v>
      </c>
      <c r="E49" s="2" t="s">
        <v>159</v>
      </c>
      <c r="F49" s="2" t="s">
        <v>20</v>
      </c>
    </row>
    <row r="50" spans="1:6" x14ac:dyDescent="0.25">
      <c r="A50" s="2" t="s">
        <v>160</v>
      </c>
      <c r="B50" s="2" t="s">
        <v>161</v>
      </c>
      <c r="C50" s="2">
        <v>64</v>
      </c>
      <c r="D50" s="2" t="s">
        <v>8</v>
      </c>
      <c r="E50" s="2" t="s">
        <v>162</v>
      </c>
      <c r="F50" s="2" t="s">
        <v>10</v>
      </c>
    </row>
    <row r="51" spans="1:6" x14ac:dyDescent="0.25">
      <c r="A51" s="2" t="s">
        <v>163</v>
      </c>
      <c r="B51" s="2" t="s">
        <v>164</v>
      </c>
      <c r="C51" s="2">
        <v>61</v>
      </c>
      <c r="D51" s="2" t="s">
        <v>18</v>
      </c>
      <c r="E51" s="2" t="s">
        <v>165</v>
      </c>
      <c r="F51" s="2" t="s">
        <v>110</v>
      </c>
    </row>
    <row r="52" spans="1:6" x14ac:dyDescent="0.25">
      <c r="A52" s="2" t="s">
        <v>36</v>
      </c>
      <c r="B52" s="2" t="s">
        <v>166</v>
      </c>
      <c r="C52" s="2">
        <v>22</v>
      </c>
      <c r="D52" s="2" t="s">
        <v>13</v>
      </c>
      <c r="E52" s="2" t="s">
        <v>167</v>
      </c>
      <c r="F52" s="2" t="s">
        <v>127</v>
      </c>
    </row>
    <row r="53" spans="1:6" x14ac:dyDescent="0.25">
      <c r="A53" s="2" t="s">
        <v>168</v>
      </c>
      <c r="B53" s="2" t="s">
        <v>169</v>
      </c>
      <c r="C53" s="2">
        <v>63</v>
      </c>
      <c r="D53" s="2" t="s">
        <v>13</v>
      </c>
      <c r="E53" s="2" t="s">
        <v>170</v>
      </c>
      <c r="F53" s="2" t="s">
        <v>35</v>
      </c>
    </row>
    <row r="54" spans="1:6" x14ac:dyDescent="0.25">
      <c r="A54" s="2" t="s">
        <v>171</v>
      </c>
      <c r="B54" s="2" t="s">
        <v>172</v>
      </c>
      <c r="C54" s="2">
        <v>43</v>
      </c>
      <c r="D54" s="2" t="s">
        <v>13</v>
      </c>
      <c r="E54" s="2" t="s">
        <v>173</v>
      </c>
      <c r="F54" s="2" t="s">
        <v>117</v>
      </c>
    </row>
    <row r="55" spans="1:6" x14ac:dyDescent="0.25">
      <c r="A55" s="2" t="s">
        <v>174</v>
      </c>
      <c r="B55" s="2" t="s">
        <v>175</v>
      </c>
      <c r="C55" s="2">
        <v>46</v>
      </c>
      <c r="D55" s="2" t="s">
        <v>42</v>
      </c>
      <c r="E55" s="2" t="s">
        <v>176</v>
      </c>
      <c r="F55" s="2" t="s">
        <v>15</v>
      </c>
    </row>
    <row r="56" spans="1:6" x14ac:dyDescent="0.25">
      <c r="A56" s="2" t="s">
        <v>177</v>
      </c>
      <c r="B56" s="2" t="s">
        <v>178</v>
      </c>
      <c r="C56" s="2">
        <v>60</v>
      </c>
      <c r="D56" s="2" t="s">
        <v>27</v>
      </c>
      <c r="E56" s="2" t="s">
        <v>179</v>
      </c>
      <c r="F56" s="2" t="s">
        <v>127</v>
      </c>
    </row>
    <row r="57" spans="1:6" x14ac:dyDescent="0.25">
      <c r="A57" s="2" t="s">
        <v>151</v>
      </c>
      <c r="B57" s="2" t="s">
        <v>180</v>
      </c>
      <c r="C57" s="2">
        <v>31</v>
      </c>
      <c r="D57" s="2" t="s">
        <v>18</v>
      </c>
      <c r="E57" s="2" t="s">
        <v>181</v>
      </c>
      <c r="F57" s="2" t="s">
        <v>39</v>
      </c>
    </row>
    <row r="58" spans="1:6" x14ac:dyDescent="0.25">
      <c r="A58" s="2" t="s">
        <v>174</v>
      </c>
      <c r="B58" s="2" t="s">
        <v>182</v>
      </c>
      <c r="C58" s="2">
        <v>51</v>
      </c>
      <c r="D58" s="2" t="s">
        <v>42</v>
      </c>
      <c r="E58" s="2" t="s">
        <v>183</v>
      </c>
      <c r="F58" s="2" t="s">
        <v>15</v>
      </c>
    </row>
    <row r="59" spans="1:6" x14ac:dyDescent="0.25">
      <c r="A59" s="2" t="s">
        <v>184</v>
      </c>
      <c r="B59" s="2" t="s">
        <v>185</v>
      </c>
      <c r="C59" s="2">
        <v>62</v>
      </c>
      <c r="D59" s="2" t="s">
        <v>42</v>
      </c>
      <c r="E59" s="2" t="s">
        <v>186</v>
      </c>
      <c r="F59" s="2" t="s">
        <v>39</v>
      </c>
    </row>
    <row r="60" spans="1:6" x14ac:dyDescent="0.25">
      <c r="A60" s="2" t="s">
        <v>187</v>
      </c>
      <c r="B60" s="2" t="s">
        <v>188</v>
      </c>
      <c r="C60" s="2">
        <v>44</v>
      </c>
      <c r="D60" s="2" t="s">
        <v>42</v>
      </c>
      <c r="E60" s="2" t="s">
        <v>189</v>
      </c>
      <c r="F60" s="2" t="s">
        <v>110</v>
      </c>
    </row>
    <row r="61" spans="1:6" x14ac:dyDescent="0.25">
      <c r="A61" s="2" t="s">
        <v>190</v>
      </c>
      <c r="B61" s="2" t="s">
        <v>191</v>
      </c>
      <c r="C61" s="2">
        <v>32</v>
      </c>
      <c r="D61" s="2" t="s">
        <v>27</v>
      </c>
      <c r="E61" s="2" t="s">
        <v>192</v>
      </c>
      <c r="F61" s="2" t="s">
        <v>20</v>
      </c>
    </row>
    <row r="62" spans="1:6" x14ac:dyDescent="0.25">
      <c r="A62" s="2" t="s">
        <v>193</v>
      </c>
      <c r="B62" s="2" t="s">
        <v>194</v>
      </c>
      <c r="C62" s="2">
        <v>20</v>
      </c>
      <c r="D62" s="2" t="s">
        <v>27</v>
      </c>
      <c r="E62" s="2" t="s">
        <v>195</v>
      </c>
      <c r="F62" s="2" t="s">
        <v>127</v>
      </c>
    </row>
    <row r="63" spans="1:6" x14ac:dyDescent="0.25">
      <c r="A63" s="2" t="s">
        <v>196</v>
      </c>
      <c r="B63" s="2" t="s">
        <v>197</v>
      </c>
      <c r="C63" s="2">
        <v>23</v>
      </c>
      <c r="D63" s="2" t="s">
        <v>42</v>
      </c>
      <c r="E63" s="2" t="s">
        <v>198</v>
      </c>
      <c r="F63" s="2" t="s">
        <v>117</v>
      </c>
    </row>
    <row r="64" spans="1:6" x14ac:dyDescent="0.25">
      <c r="A64" s="2" t="s">
        <v>199</v>
      </c>
      <c r="B64" s="2" t="s">
        <v>200</v>
      </c>
      <c r="C64" s="2">
        <v>24</v>
      </c>
      <c r="D64" s="2" t="s">
        <v>8</v>
      </c>
      <c r="E64" s="2" t="s">
        <v>201</v>
      </c>
      <c r="F64" s="2" t="s">
        <v>110</v>
      </c>
    </row>
    <row r="65" spans="1:6" x14ac:dyDescent="0.25">
      <c r="A65" s="2" t="s">
        <v>202</v>
      </c>
      <c r="B65" s="2" t="s">
        <v>203</v>
      </c>
      <c r="C65" s="2">
        <v>42</v>
      </c>
      <c r="D65" s="2" t="s">
        <v>27</v>
      </c>
      <c r="E65" s="2" t="s">
        <v>204</v>
      </c>
      <c r="F65" s="2" t="s">
        <v>20</v>
      </c>
    </row>
    <row r="66" spans="1:6" x14ac:dyDescent="0.25">
      <c r="A66" s="2" t="s">
        <v>205</v>
      </c>
      <c r="B66" s="2" t="s">
        <v>206</v>
      </c>
      <c r="C66" s="2">
        <v>36</v>
      </c>
      <c r="D66" s="2" t="s">
        <v>8</v>
      </c>
      <c r="E66" s="2" t="s">
        <v>207</v>
      </c>
      <c r="F66" s="2" t="s">
        <v>15</v>
      </c>
    </row>
    <row r="67" spans="1:6" x14ac:dyDescent="0.25">
      <c r="A67" s="2" t="s">
        <v>208</v>
      </c>
      <c r="B67" s="2" t="s">
        <v>209</v>
      </c>
      <c r="C67" s="2">
        <v>48</v>
      </c>
      <c r="D67" s="2" t="s">
        <v>27</v>
      </c>
      <c r="E67" s="2" t="s">
        <v>210</v>
      </c>
      <c r="F67" s="2" t="s">
        <v>20</v>
      </c>
    </row>
    <row r="68" spans="1:6" x14ac:dyDescent="0.25">
      <c r="A68" s="2" t="s">
        <v>211</v>
      </c>
      <c r="B68" s="2" t="s">
        <v>212</v>
      </c>
      <c r="C68" s="2">
        <v>45</v>
      </c>
      <c r="D68" s="2" t="s">
        <v>42</v>
      </c>
      <c r="E68" s="2" t="s">
        <v>213</v>
      </c>
      <c r="F68" s="2" t="s">
        <v>35</v>
      </c>
    </row>
    <row r="69" spans="1:6" x14ac:dyDescent="0.25">
      <c r="A69" s="2" t="s">
        <v>214</v>
      </c>
      <c r="B69" s="2" t="s">
        <v>215</v>
      </c>
      <c r="C69" s="2">
        <v>32</v>
      </c>
      <c r="D69" s="2" t="s">
        <v>27</v>
      </c>
      <c r="E69" s="2" t="s">
        <v>216</v>
      </c>
      <c r="F69" s="2" t="s">
        <v>47</v>
      </c>
    </row>
    <row r="70" spans="1:6" x14ac:dyDescent="0.25">
      <c r="A70" s="2" t="s">
        <v>217</v>
      </c>
      <c r="B70" s="2" t="s">
        <v>182</v>
      </c>
      <c r="C70" s="2">
        <v>32</v>
      </c>
      <c r="D70" s="2" t="s">
        <v>42</v>
      </c>
      <c r="E70" s="2" t="s">
        <v>218</v>
      </c>
      <c r="F70" s="2" t="s">
        <v>15</v>
      </c>
    </row>
    <row r="71" spans="1:6" x14ac:dyDescent="0.25">
      <c r="A71" s="2" t="s">
        <v>219</v>
      </c>
      <c r="B71" s="2" t="s">
        <v>220</v>
      </c>
      <c r="C71" s="2">
        <v>61</v>
      </c>
      <c r="D71" s="2" t="s">
        <v>27</v>
      </c>
      <c r="E71" s="2" t="s">
        <v>221</v>
      </c>
      <c r="F71" s="2" t="s">
        <v>39</v>
      </c>
    </row>
    <row r="72" spans="1:6" x14ac:dyDescent="0.25">
      <c r="A72" s="2" t="s">
        <v>222</v>
      </c>
      <c r="B72" s="2" t="s">
        <v>223</v>
      </c>
      <c r="C72" s="2">
        <v>49</v>
      </c>
      <c r="D72" s="2" t="s">
        <v>8</v>
      </c>
      <c r="E72" s="2" t="s">
        <v>224</v>
      </c>
      <c r="F72" s="2" t="s">
        <v>35</v>
      </c>
    </row>
    <row r="73" spans="1:6" x14ac:dyDescent="0.25">
      <c r="A73" s="2" t="s">
        <v>16</v>
      </c>
      <c r="B73" s="2" t="s">
        <v>225</v>
      </c>
      <c r="C73" s="2">
        <v>29</v>
      </c>
      <c r="D73" s="2" t="s">
        <v>18</v>
      </c>
      <c r="E73" s="2" t="s">
        <v>226</v>
      </c>
      <c r="F73" s="2" t="s">
        <v>117</v>
      </c>
    </row>
    <row r="74" spans="1:6" x14ac:dyDescent="0.25">
      <c r="A74" s="2" t="s">
        <v>227</v>
      </c>
      <c r="B74" s="2" t="s">
        <v>228</v>
      </c>
      <c r="C74" s="2">
        <v>36</v>
      </c>
      <c r="D74" s="2" t="s">
        <v>8</v>
      </c>
      <c r="E74" s="2" t="s">
        <v>229</v>
      </c>
      <c r="F74" s="2" t="s">
        <v>47</v>
      </c>
    </row>
    <row r="75" spans="1:6" x14ac:dyDescent="0.25">
      <c r="A75" s="2" t="s">
        <v>230</v>
      </c>
      <c r="B75" s="2" t="s">
        <v>231</v>
      </c>
      <c r="C75" s="2">
        <v>59</v>
      </c>
      <c r="D75" s="2" t="s">
        <v>42</v>
      </c>
      <c r="E75" s="2" t="s">
        <v>232</v>
      </c>
      <c r="F75" s="2" t="s">
        <v>110</v>
      </c>
    </row>
    <row r="76" spans="1:6" x14ac:dyDescent="0.25">
      <c r="A76" s="2" t="s">
        <v>51</v>
      </c>
      <c r="B76" s="2" t="s">
        <v>233</v>
      </c>
      <c r="C76" s="2">
        <v>54</v>
      </c>
      <c r="D76" s="2" t="s">
        <v>8</v>
      </c>
      <c r="E76" s="2" t="s">
        <v>234</v>
      </c>
      <c r="F76" s="2" t="s">
        <v>15</v>
      </c>
    </row>
    <row r="77" spans="1:6" x14ac:dyDescent="0.25">
      <c r="A77" s="2" t="s">
        <v>92</v>
      </c>
      <c r="B77" s="2" t="s">
        <v>235</v>
      </c>
      <c r="C77" s="2">
        <v>64</v>
      </c>
      <c r="D77" s="2" t="s">
        <v>18</v>
      </c>
      <c r="E77" s="2" t="s">
        <v>236</v>
      </c>
      <c r="F77" s="2" t="s">
        <v>47</v>
      </c>
    </row>
    <row r="78" spans="1:6" x14ac:dyDescent="0.25">
      <c r="A78" s="2" t="s">
        <v>36</v>
      </c>
      <c r="B78" s="2" t="s">
        <v>237</v>
      </c>
      <c r="C78" s="2">
        <v>29</v>
      </c>
      <c r="D78" s="2" t="s">
        <v>18</v>
      </c>
      <c r="E78" s="2" t="s">
        <v>238</v>
      </c>
      <c r="F78" s="2" t="s">
        <v>110</v>
      </c>
    </row>
    <row r="79" spans="1:6" x14ac:dyDescent="0.25">
      <c r="A79" s="2" t="s">
        <v>205</v>
      </c>
      <c r="B79" s="2" t="s">
        <v>239</v>
      </c>
      <c r="C79" s="2">
        <v>33</v>
      </c>
      <c r="D79" s="2" t="s">
        <v>27</v>
      </c>
      <c r="E79" s="2" t="s">
        <v>240</v>
      </c>
      <c r="F79" s="2" t="s">
        <v>20</v>
      </c>
    </row>
    <row r="80" spans="1:6" x14ac:dyDescent="0.25">
      <c r="A80" s="2" t="s">
        <v>241</v>
      </c>
      <c r="B80" s="2" t="s">
        <v>242</v>
      </c>
      <c r="C80" s="2">
        <v>54</v>
      </c>
      <c r="D80" s="2" t="s">
        <v>18</v>
      </c>
      <c r="E80" s="2" t="s">
        <v>243</v>
      </c>
      <c r="F80" s="2" t="s">
        <v>15</v>
      </c>
    </row>
    <row r="81" spans="1:6" x14ac:dyDescent="0.25">
      <c r="A81" s="2" t="s">
        <v>244</v>
      </c>
      <c r="B81" s="2" t="s">
        <v>245</v>
      </c>
      <c r="C81" s="2">
        <v>54</v>
      </c>
      <c r="D81" s="2" t="s">
        <v>27</v>
      </c>
      <c r="E81" s="2" t="s">
        <v>246</v>
      </c>
      <c r="F81" s="2" t="s">
        <v>39</v>
      </c>
    </row>
    <row r="82" spans="1:6" x14ac:dyDescent="0.25">
      <c r="A82" s="2" t="s">
        <v>247</v>
      </c>
      <c r="B82" s="2" t="s">
        <v>248</v>
      </c>
      <c r="C82" s="2">
        <v>24</v>
      </c>
      <c r="D82" s="2" t="s">
        <v>13</v>
      </c>
      <c r="E82" s="2" t="s">
        <v>249</v>
      </c>
      <c r="F82" s="2" t="s">
        <v>15</v>
      </c>
    </row>
    <row r="83" spans="1:6" x14ac:dyDescent="0.25">
      <c r="A83" s="2" t="s">
        <v>250</v>
      </c>
      <c r="B83" s="2" t="s">
        <v>251</v>
      </c>
      <c r="C83" s="2">
        <v>30</v>
      </c>
      <c r="D83" s="2" t="s">
        <v>13</v>
      </c>
      <c r="E83" s="2" t="s">
        <v>252</v>
      </c>
      <c r="F83" s="2" t="s">
        <v>39</v>
      </c>
    </row>
    <row r="84" spans="1:6" x14ac:dyDescent="0.25">
      <c r="A84" s="2" t="s">
        <v>253</v>
      </c>
      <c r="B84" s="2" t="s">
        <v>254</v>
      </c>
      <c r="C84" s="2">
        <v>38</v>
      </c>
      <c r="D84" s="2" t="s">
        <v>27</v>
      </c>
      <c r="E84" s="2" t="s">
        <v>255</v>
      </c>
      <c r="F84" s="2" t="s">
        <v>110</v>
      </c>
    </row>
    <row r="85" spans="1:6" x14ac:dyDescent="0.25">
      <c r="A85" s="2" t="s">
        <v>256</v>
      </c>
      <c r="B85" s="2" t="s">
        <v>257</v>
      </c>
      <c r="C85" s="2">
        <v>40</v>
      </c>
      <c r="D85" s="2" t="s">
        <v>18</v>
      </c>
      <c r="E85" s="2" t="s">
        <v>258</v>
      </c>
      <c r="F85" s="2" t="s">
        <v>127</v>
      </c>
    </row>
    <row r="86" spans="1:6" x14ac:dyDescent="0.25">
      <c r="A86" s="2" t="s">
        <v>259</v>
      </c>
      <c r="B86" s="2" t="s">
        <v>260</v>
      </c>
      <c r="C86" s="2">
        <v>48</v>
      </c>
      <c r="D86" s="2" t="s">
        <v>8</v>
      </c>
      <c r="E86" s="2" t="s">
        <v>261</v>
      </c>
      <c r="F86" s="2" t="s">
        <v>35</v>
      </c>
    </row>
    <row r="87" spans="1:6" x14ac:dyDescent="0.25">
      <c r="A87" s="2" t="s">
        <v>262</v>
      </c>
      <c r="B87" s="2" t="s">
        <v>263</v>
      </c>
      <c r="C87" s="2">
        <v>52</v>
      </c>
      <c r="D87" s="2" t="s">
        <v>27</v>
      </c>
      <c r="E87" s="2" t="s">
        <v>264</v>
      </c>
      <c r="F87" s="2" t="s">
        <v>35</v>
      </c>
    </row>
    <row r="88" spans="1:6" x14ac:dyDescent="0.25">
      <c r="A88" s="2" t="s">
        <v>265</v>
      </c>
      <c r="B88" s="2" t="s">
        <v>266</v>
      </c>
      <c r="C88" s="2">
        <v>38</v>
      </c>
      <c r="D88" s="2" t="s">
        <v>18</v>
      </c>
      <c r="E88" s="2" t="s">
        <v>267</v>
      </c>
      <c r="F88" s="2" t="s">
        <v>110</v>
      </c>
    </row>
    <row r="89" spans="1:6" x14ac:dyDescent="0.25">
      <c r="A89" s="2" t="s">
        <v>268</v>
      </c>
      <c r="B89" s="2" t="s">
        <v>269</v>
      </c>
      <c r="C89" s="2">
        <v>27</v>
      </c>
      <c r="D89" s="2" t="s">
        <v>8</v>
      </c>
      <c r="E89" s="2" t="s">
        <v>270</v>
      </c>
      <c r="F89" s="2" t="s">
        <v>47</v>
      </c>
    </row>
    <row r="90" spans="1:6" x14ac:dyDescent="0.25">
      <c r="A90" s="2" t="s">
        <v>271</v>
      </c>
      <c r="B90" s="2" t="s">
        <v>272</v>
      </c>
      <c r="C90" s="2">
        <v>65</v>
      </c>
      <c r="D90" s="2" t="s">
        <v>18</v>
      </c>
      <c r="E90" s="2" t="s">
        <v>273</v>
      </c>
      <c r="F90" s="2" t="s">
        <v>47</v>
      </c>
    </row>
    <row r="91" spans="1:6" x14ac:dyDescent="0.25">
      <c r="A91" s="2" t="s">
        <v>274</v>
      </c>
      <c r="B91" s="2" t="s">
        <v>257</v>
      </c>
      <c r="C91" s="2">
        <v>30</v>
      </c>
      <c r="D91" s="2" t="s">
        <v>42</v>
      </c>
      <c r="E91" s="2" t="s">
        <v>275</v>
      </c>
      <c r="F91" s="2" t="s">
        <v>10</v>
      </c>
    </row>
    <row r="92" spans="1:6" x14ac:dyDescent="0.25">
      <c r="A92" s="2" t="s">
        <v>276</v>
      </c>
      <c r="B92" s="2" t="s">
        <v>277</v>
      </c>
      <c r="C92" s="2">
        <v>31</v>
      </c>
      <c r="D92" s="2" t="s">
        <v>8</v>
      </c>
      <c r="E92" s="2" t="s">
        <v>278</v>
      </c>
      <c r="F92" s="2" t="s">
        <v>47</v>
      </c>
    </row>
    <row r="93" spans="1:6" x14ac:dyDescent="0.25">
      <c r="A93" s="2" t="s">
        <v>279</v>
      </c>
      <c r="B93" s="2" t="s">
        <v>280</v>
      </c>
      <c r="C93" s="2">
        <v>42</v>
      </c>
      <c r="D93" s="2" t="s">
        <v>27</v>
      </c>
      <c r="E93" s="2" t="s">
        <v>281</v>
      </c>
      <c r="F93" s="2" t="s">
        <v>20</v>
      </c>
    </row>
    <row r="94" spans="1:6" x14ac:dyDescent="0.25">
      <c r="A94" s="2" t="s">
        <v>282</v>
      </c>
      <c r="B94" s="2" t="s">
        <v>283</v>
      </c>
      <c r="C94" s="2">
        <v>56</v>
      </c>
      <c r="D94" s="2" t="s">
        <v>27</v>
      </c>
      <c r="E94" s="2" t="s">
        <v>284</v>
      </c>
      <c r="F94" s="2" t="s">
        <v>15</v>
      </c>
    </row>
    <row r="95" spans="1:6" x14ac:dyDescent="0.25">
      <c r="A95" s="2" t="s">
        <v>285</v>
      </c>
      <c r="B95" s="2" t="s">
        <v>286</v>
      </c>
      <c r="C95" s="2">
        <v>26</v>
      </c>
      <c r="D95" s="2" t="s">
        <v>27</v>
      </c>
      <c r="E95" s="2" t="s">
        <v>287</v>
      </c>
      <c r="F95" s="2" t="s">
        <v>39</v>
      </c>
    </row>
    <row r="96" spans="1:6" x14ac:dyDescent="0.25">
      <c r="A96" s="2" t="s">
        <v>107</v>
      </c>
      <c r="B96" s="2" t="s">
        <v>288</v>
      </c>
      <c r="C96" s="2">
        <v>55</v>
      </c>
      <c r="D96" s="2" t="s">
        <v>13</v>
      </c>
      <c r="E96" s="2" t="s">
        <v>289</v>
      </c>
      <c r="F96" s="2" t="s">
        <v>127</v>
      </c>
    </row>
    <row r="97" spans="1:6" x14ac:dyDescent="0.25">
      <c r="A97" s="2" t="s">
        <v>290</v>
      </c>
      <c r="B97" s="2" t="s">
        <v>291</v>
      </c>
      <c r="C97" s="2">
        <v>40</v>
      </c>
      <c r="D97" s="2" t="s">
        <v>8</v>
      </c>
      <c r="E97" s="2" t="s">
        <v>292</v>
      </c>
      <c r="F97" s="2" t="s">
        <v>15</v>
      </c>
    </row>
    <row r="98" spans="1:6" x14ac:dyDescent="0.25">
      <c r="A98" s="2" t="s">
        <v>293</v>
      </c>
      <c r="B98" s="2" t="s">
        <v>294</v>
      </c>
      <c r="C98" s="2">
        <v>26</v>
      </c>
      <c r="D98" s="2" t="s">
        <v>27</v>
      </c>
      <c r="E98" s="2" t="s">
        <v>295</v>
      </c>
      <c r="F98" s="2" t="s">
        <v>15</v>
      </c>
    </row>
    <row r="99" spans="1:6" x14ac:dyDescent="0.25">
      <c r="A99" s="2" t="s">
        <v>296</v>
      </c>
      <c r="B99" s="2" t="s">
        <v>297</v>
      </c>
      <c r="C99" s="2">
        <v>37</v>
      </c>
      <c r="D99" s="2" t="s">
        <v>42</v>
      </c>
      <c r="E99" s="2" t="s">
        <v>298</v>
      </c>
      <c r="F99" s="2" t="s">
        <v>117</v>
      </c>
    </row>
    <row r="100" spans="1:6" x14ac:dyDescent="0.25">
      <c r="A100" s="2" t="s">
        <v>299</v>
      </c>
      <c r="B100" s="2" t="s">
        <v>300</v>
      </c>
      <c r="C100" s="2">
        <v>52</v>
      </c>
      <c r="D100" s="2" t="s">
        <v>18</v>
      </c>
      <c r="E100" s="2" t="s">
        <v>301</v>
      </c>
      <c r="F100" s="2" t="s">
        <v>117</v>
      </c>
    </row>
    <row r="101" spans="1:6" x14ac:dyDescent="0.25">
      <c r="A101" s="2" t="s">
        <v>302</v>
      </c>
      <c r="B101" s="2" t="s">
        <v>303</v>
      </c>
      <c r="C101" s="2">
        <v>65</v>
      </c>
      <c r="D101" s="2" t="s">
        <v>27</v>
      </c>
      <c r="E101" s="2" t="s">
        <v>304</v>
      </c>
      <c r="F101" s="2" t="s">
        <v>24</v>
      </c>
    </row>
    <row r="102" spans="1:6" x14ac:dyDescent="0.25">
      <c r="A102" s="2" t="s">
        <v>305</v>
      </c>
      <c r="B102" s="2" t="s">
        <v>306</v>
      </c>
      <c r="C102" s="2">
        <v>56</v>
      </c>
      <c r="D102" s="2" t="s">
        <v>18</v>
      </c>
      <c r="E102" s="2" t="s">
        <v>307</v>
      </c>
      <c r="F102" s="2" t="s">
        <v>20</v>
      </c>
    </row>
    <row r="103" spans="1:6" x14ac:dyDescent="0.25">
      <c r="A103" s="2" t="s">
        <v>308</v>
      </c>
      <c r="B103" s="2" t="s">
        <v>309</v>
      </c>
      <c r="C103" s="2">
        <v>55</v>
      </c>
      <c r="D103" s="2" t="s">
        <v>27</v>
      </c>
      <c r="E103" s="2" t="s">
        <v>310</v>
      </c>
      <c r="F103" s="2" t="s">
        <v>47</v>
      </c>
    </row>
    <row r="104" spans="1:6" x14ac:dyDescent="0.25">
      <c r="A104" s="2" t="s">
        <v>311</v>
      </c>
      <c r="B104" s="2" t="s">
        <v>312</v>
      </c>
      <c r="C104" s="2">
        <v>41</v>
      </c>
      <c r="D104" s="2" t="s">
        <v>18</v>
      </c>
      <c r="E104" s="2" t="s">
        <v>313</v>
      </c>
      <c r="F104" s="2" t="s">
        <v>110</v>
      </c>
    </row>
    <row r="105" spans="1:6" x14ac:dyDescent="0.25">
      <c r="A105" s="2" t="s">
        <v>314</v>
      </c>
      <c r="B105" s="2" t="s">
        <v>315</v>
      </c>
      <c r="C105" s="2">
        <v>24</v>
      </c>
      <c r="D105" s="2" t="s">
        <v>27</v>
      </c>
      <c r="E105" s="2" t="s">
        <v>316</v>
      </c>
      <c r="F105" s="2" t="s">
        <v>117</v>
      </c>
    </row>
    <row r="106" spans="1:6" x14ac:dyDescent="0.25">
      <c r="A106" s="2" t="s">
        <v>317</v>
      </c>
      <c r="B106" s="2" t="s">
        <v>318</v>
      </c>
      <c r="C106" s="2">
        <v>35</v>
      </c>
      <c r="D106" s="2" t="s">
        <v>27</v>
      </c>
      <c r="E106" s="2" t="s">
        <v>319</v>
      </c>
      <c r="F106" s="2" t="s">
        <v>20</v>
      </c>
    </row>
    <row r="107" spans="1:6" x14ac:dyDescent="0.25">
      <c r="A107" s="2" t="s">
        <v>196</v>
      </c>
      <c r="B107" s="2" t="s">
        <v>320</v>
      </c>
      <c r="C107" s="2">
        <v>22</v>
      </c>
      <c r="D107" s="2" t="s">
        <v>42</v>
      </c>
      <c r="E107" s="2" t="s">
        <v>321</v>
      </c>
      <c r="F107" s="2" t="s">
        <v>10</v>
      </c>
    </row>
    <row r="108" spans="1:6" x14ac:dyDescent="0.25">
      <c r="A108" s="2" t="s">
        <v>322</v>
      </c>
      <c r="B108" s="2" t="s">
        <v>323</v>
      </c>
      <c r="C108" s="2">
        <v>41</v>
      </c>
      <c r="D108" s="2" t="s">
        <v>27</v>
      </c>
      <c r="E108" s="2" t="s">
        <v>324</v>
      </c>
      <c r="F108" s="2" t="s">
        <v>47</v>
      </c>
    </row>
    <row r="109" spans="1:6" x14ac:dyDescent="0.25">
      <c r="A109" s="2" t="s">
        <v>325</v>
      </c>
      <c r="B109" s="2" t="s">
        <v>326</v>
      </c>
      <c r="C109" s="2">
        <v>38</v>
      </c>
      <c r="D109" s="2" t="s">
        <v>8</v>
      </c>
      <c r="E109" s="2" t="s">
        <v>327</v>
      </c>
      <c r="F109" s="2" t="s">
        <v>35</v>
      </c>
    </row>
    <row r="110" spans="1:6" x14ac:dyDescent="0.25">
      <c r="A110" s="2" t="s">
        <v>328</v>
      </c>
      <c r="B110" s="2" t="s">
        <v>329</v>
      </c>
      <c r="C110" s="2">
        <v>27</v>
      </c>
      <c r="D110" s="2" t="s">
        <v>42</v>
      </c>
      <c r="E110" s="2" t="s">
        <v>330</v>
      </c>
      <c r="F110" s="2" t="s">
        <v>39</v>
      </c>
    </row>
    <row r="111" spans="1:6" x14ac:dyDescent="0.25">
      <c r="A111" s="2" t="s">
        <v>268</v>
      </c>
      <c r="B111" s="2" t="s">
        <v>331</v>
      </c>
      <c r="C111" s="2">
        <v>42</v>
      </c>
      <c r="D111" s="2" t="s">
        <v>42</v>
      </c>
      <c r="E111" s="2" t="s">
        <v>332</v>
      </c>
      <c r="F111" s="2" t="s">
        <v>117</v>
      </c>
    </row>
    <row r="112" spans="1:6" x14ac:dyDescent="0.25">
      <c r="A112" s="2" t="s">
        <v>333</v>
      </c>
      <c r="B112" s="2" t="s">
        <v>334</v>
      </c>
      <c r="C112" s="2">
        <v>61</v>
      </c>
      <c r="D112" s="2" t="s">
        <v>27</v>
      </c>
      <c r="E112" s="2" t="s">
        <v>335</v>
      </c>
      <c r="F112" s="2" t="s">
        <v>117</v>
      </c>
    </row>
    <row r="113" spans="1:6" x14ac:dyDescent="0.25">
      <c r="A113" s="2" t="s">
        <v>336</v>
      </c>
      <c r="B113" s="2" t="s">
        <v>337</v>
      </c>
      <c r="C113" s="2">
        <v>33</v>
      </c>
      <c r="D113" s="2" t="s">
        <v>27</v>
      </c>
      <c r="E113" s="2" t="s">
        <v>338</v>
      </c>
      <c r="F113" s="2" t="s">
        <v>117</v>
      </c>
    </row>
    <row r="114" spans="1:6" x14ac:dyDescent="0.25">
      <c r="A114" s="2" t="s">
        <v>339</v>
      </c>
      <c r="B114" s="2" t="s">
        <v>340</v>
      </c>
      <c r="C114" s="2">
        <v>51</v>
      </c>
      <c r="D114" s="2" t="s">
        <v>8</v>
      </c>
      <c r="E114" s="2" t="s">
        <v>341</v>
      </c>
      <c r="F114" s="2" t="s">
        <v>10</v>
      </c>
    </row>
    <row r="115" spans="1:6" x14ac:dyDescent="0.25">
      <c r="A115" s="2" t="s">
        <v>342</v>
      </c>
      <c r="B115" s="2" t="s">
        <v>343</v>
      </c>
      <c r="C115" s="2">
        <v>57</v>
      </c>
      <c r="D115" s="2" t="s">
        <v>42</v>
      </c>
      <c r="E115" s="2" t="s">
        <v>344</v>
      </c>
      <c r="F115" s="2" t="s">
        <v>35</v>
      </c>
    </row>
    <row r="116" spans="1:6" x14ac:dyDescent="0.25">
      <c r="A116" s="2" t="s">
        <v>345</v>
      </c>
      <c r="B116" s="2" t="s">
        <v>346</v>
      </c>
      <c r="C116" s="2">
        <v>37</v>
      </c>
      <c r="D116" s="2" t="s">
        <v>13</v>
      </c>
      <c r="E116" s="2" t="s">
        <v>347</v>
      </c>
      <c r="F116" s="2" t="s">
        <v>110</v>
      </c>
    </row>
    <row r="117" spans="1:6" x14ac:dyDescent="0.25">
      <c r="A117" s="2" t="s">
        <v>348</v>
      </c>
      <c r="B117" s="2" t="s">
        <v>349</v>
      </c>
      <c r="C117" s="2">
        <v>63</v>
      </c>
      <c r="D117" s="2" t="s">
        <v>18</v>
      </c>
      <c r="E117" s="2" t="s">
        <v>350</v>
      </c>
      <c r="F117" s="2" t="s">
        <v>20</v>
      </c>
    </row>
    <row r="118" spans="1:6" x14ac:dyDescent="0.25">
      <c r="A118" s="2" t="s">
        <v>81</v>
      </c>
      <c r="B118" s="2" t="s">
        <v>351</v>
      </c>
      <c r="C118" s="2">
        <v>24</v>
      </c>
      <c r="D118" s="2" t="s">
        <v>8</v>
      </c>
      <c r="E118" s="2" t="s">
        <v>352</v>
      </c>
      <c r="F118" s="2" t="s">
        <v>24</v>
      </c>
    </row>
    <row r="119" spans="1:6" x14ac:dyDescent="0.25">
      <c r="A119" s="2" t="s">
        <v>353</v>
      </c>
      <c r="B119" s="2" t="s">
        <v>269</v>
      </c>
      <c r="C119" s="2">
        <v>42</v>
      </c>
      <c r="D119" s="2" t="s">
        <v>8</v>
      </c>
      <c r="E119" s="2" t="s">
        <v>354</v>
      </c>
      <c r="F119" s="2" t="s">
        <v>15</v>
      </c>
    </row>
    <row r="120" spans="1:6" x14ac:dyDescent="0.25">
      <c r="A120" s="2" t="s">
        <v>355</v>
      </c>
      <c r="B120" s="2" t="s">
        <v>356</v>
      </c>
      <c r="C120" s="2">
        <v>30</v>
      </c>
      <c r="D120" s="2" t="s">
        <v>42</v>
      </c>
      <c r="E120" s="2" t="s">
        <v>357</v>
      </c>
      <c r="F120" s="2" t="s">
        <v>47</v>
      </c>
    </row>
    <row r="121" spans="1:6" x14ac:dyDescent="0.25">
      <c r="A121" s="2" t="s">
        <v>358</v>
      </c>
      <c r="B121" s="2" t="s">
        <v>359</v>
      </c>
      <c r="C121" s="2">
        <v>59</v>
      </c>
      <c r="D121" s="2" t="s">
        <v>42</v>
      </c>
      <c r="E121" s="2" t="s">
        <v>360</v>
      </c>
      <c r="F121" s="2" t="s">
        <v>117</v>
      </c>
    </row>
    <row r="122" spans="1:6" x14ac:dyDescent="0.25">
      <c r="A122" s="2" t="s">
        <v>361</v>
      </c>
      <c r="B122" s="2" t="s">
        <v>362</v>
      </c>
      <c r="C122" s="2">
        <v>32</v>
      </c>
      <c r="D122" s="2" t="s">
        <v>18</v>
      </c>
      <c r="E122" s="2" t="s">
        <v>363</v>
      </c>
      <c r="F122" s="2" t="s">
        <v>20</v>
      </c>
    </row>
    <row r="123" spans="1:6" x14ac:dyDescent="0.25">
      <c r="A123" s="2" t="s">
        <v>364</v>
      </c>
      <c r="B123" s="2" t="s">
        <v>365</v>
      </c>
      <c r="C123" s="2">
        <v>59</v>
      </c>
      <c r="D123" s="2" t="s">
        <v>13</v>
      </c>
      <c r="E123" s="2" t="s">
        <v>366</v>
      </c>
      <c r="F123" s="2" t="s">
        <v>35</v>
      </c>
    </row>
    <row r="124" spans="1:6" x14ac:dyDescent="0.25">
      <c r="A124" s="2" t="s">
        <v>367</v>
      </c>
      <c r="B124" s="2" t="s">
        <v>368</v>
      </c>
      <c r="C124" s="2">
        <v>29</v>
      </c>
      <c r="D124" s="2" t="s">
        <v>18</v>
      </c>
      <c r="E124" s="2" t="s">
        <v>369</v>
      </c>
      <c r="F124" s="2" t="s">
        <v>127</v>
      </c>
    </row>
    <row r="125" spans="1:6" x14ac:dyDescent="0.25">
      <c r="A125" s="2" t="s">
        <v>370</v>
      </c>
      <c r="B125" s="2" t="s">
        <v>371</v>
      </c>
      <c r="C125" s="2">
        <v>49</v>
      </c>
      <c r="D125" s="2" t="s">
        <v>13</v>
      </c>
      <c r="E125" s="2" t="s">
        <v>372</v>
      </c>
      <c r="F125" s="2" t="s">
        <v>47</v>
      </c>
    </row>
    <row r="126" spans="1:6" x14ac:dyDescent="0.25">
      <c r="A126" s="2" t="s">
        <v>373</v>
      </c>
      <c r="B126" s="2" t="s">
        <v>228</v>
      </c>
      <c r="C126" s="2">
        <v>51</v>
      </c>
      <c r="D126" s="2" t="s">
        <v>13</v>
      </c>
      <c r="E126" s="2" t="s">
        <v>374</v>
      </c>
      <c r="F126" s="2" t="s">
        <v>20</v>
      </c>
    </row>
    <row r="127" spans="1:6" x14ac:dyDescent="0.25">
      <c r="A127" s="2" t="s">
        <v>151</v>
      </c>
      <c r="B127" s="2" t="s">
        <v>375</v>
      </c>
      <c r="C127" s="2">
        <v>46</v>
      </c>
      <c r="D127" s="2" t="s">
        <v>27</v>
      </c>
      <c r="E127" s="2" t="s">
        <v>376</v>
      </c>
      <c r="F127" s="2" t="s">
        <v>110</v>
      </c>
    </row>
    <row r="128" spans="1:6" x14ac:dyDescent="0.25">
      <c r="A128" s="2" t="s">
        <v>377</v>
      </c>
      <c r="B128" s="2" t="s">
        <v>378</v>
      </c>
      <c r="C128" s="2">
        <v>55</v>
      </c>
      <c r="D128" s="2" t="s">
        <v>13</v>
      </c>
      <c r="E128" s="2" t="s">
        <v>379</v>
      </c>
      <c r="F128" s="2" t="s">
        <v>47</v>
      </c>
    </row>
    <row r="129" spans="1:6" x14ac:dyDescent="0.25">
      <c r="A129" s="2" t="s">
        <v>293</v>
      </c>
      <c r="B129" s="2" t="s">
        <v>272</v>
      </c>
      <c r="C129" s="2">
        <v>48</v>
      </c>
      <c r="D129" s="2" t="s">
        <v>42</v>
      </c>
      <c r="E129" s="2" t="s">
        <v>380</v>
      </c>
      <c r="F129" s="2" t="s">
        <v>35</v>
      </c>
    </row>
    <row r="130" spans="1:6" x14ac:dyDescent="0.25">
      <c r="A130" s="2" t="s">
        <v>256</v>
      </c>
      <c r="B130" s="2" t="s">
        <v>381</v>
      </c>
      <c r="C130" s="2">
        <v>59</v>
      </c>
      <c r="D130" s="2" t="s">
        <v>18</v>
      </c>
      <c r="E130" s="2" t="s">
        <v>382</v>
      </c>
      <c r="F130" s="2" t="s">
        <v>24</v>
      </c>
    </row>
    <row r="131" spans="1:6" x14ac:dyDescent="0.25">
      <c r="A131" s="2" t="s">
        <v>383</v>
      </c>
      <c r="B131" s="2" t="s">
        <v>7</v>
      </c>
      <c r="C131" s="2">
        <v>59</v>
      </c>
      <c r="D131" s="2" t="s">
        <v>27</v>
      </c>
      <c r="E131" s="2" t="s">
        <v>384</v>
      </c>
      <c r="F131" s="2" t="s">
        <v>117</v>
      </c>
    </row>
    <row r="132" spans="1:6" x14ac:dyDescent="0.25">
      <c r="A132" s="2" t="s">
        <v>385</v>
      </c>
      <c r="B132" s="2" t="s">
        <v>386</v>
      </c>
      <c r="C132" s="2">
        <v>29</v>
      </c>
      <c r="D132" s="2" t="s">
        <v>18</v>
      </c>
      <c r="E132" s="2" t="s">
        <v>387</v>
      </c>
      <c r="F132" s="2" t="s">
        <v>117</v>
      </c>
    </row>
    <row r="133" spans="1:6" x14ac:dyDescent="0.25">
      <c r="A133" s="2" t="s">
        <v>388</v>
      </c>
      <c r="B133" s="2" t="s">
        <v>389</v>
      </c>
      <c r="C133" s="2">
        <v>22</v>
      </c>
      <c r="D133" s="2" t="s">
        <v>13</v>
      </c>
      <c r="E133" s="2" t="s">
        <v>390</v>
      </c>
      <c r="F133" s="2" t="s">
        <v>110</v>
      </c>
    </row>
    <row r="134" spans="1:6" x14ac:dyDescent="0.25">
      <c r="A134" s="2" t="s">
        <v>391</v>
      </c>
      <c r="B134" s="2" t="s">
        <v>392</v>
      </c>
      <c r="C134" s="2">
        <v>25</v>
      </c>
      <c r="D134" s="2" t="s">
        <v>27</v>
      </c>
      <c r="E134" s="2" t="s">
        <v>393</v>
      </c>
      <c r="F134" s="2" t="s">
        <v>15</v>
      </c>
    </row>
    <row r="135" spans="1:6" x14ac:dyDescent="0.25">
      <c r="A135" s="2" t="s">
        <v>205</v>
      </c>
      <c r="B135" s="2" t="s">
        <v>122</v>
      </c>
      <c r="C135" s="2">
        <v>46</v>
      </c>
      <c r="D135" s="2" t="s">
        <v>27</v>
      </c>
      <c r="E135" s="2" t="s">
        <v>394</v>
      </c>
      <c r="F135" s="2" t="s">
        <v>20</v>
      </c>
    </row>
    <row r="136" spans="1:6" x14ac:dyDescent="0.25">
      <c r="A136" s="2" t="s">
        <v>395</v>
      </c>
      <c r="B136" s="2" t="s">
        <v>396</v>
      </c>
      <c r="C136" s="2">
        <v>64</v>
      </c>
      <c r="D136" s="2" t="s">
        <v>42</v>
      </c>
      <c r="E136" s="2" t="s">
        <v>397</v>
      </c>
      <c r="F136" s="2" t="s">
        <v>117</v>
      </c>
    </row>
    <row r="137" spans="1:6" x14ac:dyDescent="0.25">
      <c r="A137" s="2" t="s">
        <v>317</v>
      </c>
      <c r="B137" s="2" t="s">
        <v>398</v>
      </c>
      <c r="C137" s="2">
        <v>62</v>
      </c>
      <c r="D137" s="2" t="s">
        <v>8</v>
      </c>
      <c r="E137" s="2" t="s">
        <v>399</v>
      </c>
      <c r="F137" s="2" t="s">
        <v>10</v>
      </c>
    </row>
    <row r="138" spans="1:6" x14ac:dyDescent="0.25">
      <c r="A138" s="2" t="s">
        <v>400</v>
      </c>
      <c r="B138" s="2" t="s">
        <v>401</v>
      </c>
      <c r="C138" s="2">
        <v>33</v>
      </c>
      <c r="D138" s="2" t="s">
        <v>27</v>
      </c>
      <c r="E138" s="2" t="s">
        <v>402</v>
      </c>
      <c r="F138" s="2" t="s">
        <v>39</v>
      </c>
    </row>
    <row r="139" spans="1:6" x14ac:dyDescent="0.25">
      <c r="A139" s="2" t="s">
        <v>168</v>
      </c>
      <c r="B139" s="2" t="s">
        <v>124</v>
      </c>
      <c r="C139" s="2">
        <v>28</v>
      </c>
      <c r="D139" s="2" t="s">
        <v>42</v>
      </c>
      <c r="E139" s="2" t="s">
        <v>403</v>
      </c>
      <c r="F139" s="2" t="s">
        <v>10</v>
      </c>
    </row>
    <row r="140" spans="1:6" x14ac:dyDescent="0.25">
      <c r="A140" s="2" t="s">
        <v>404</v>
      </c>
      <c r="B140" s="2" t="s">
        <v>405</v>
      </c>
      <c r="C140" s="2">
        <v>35</v>
      </c>
      <c r="D140" s="2" t="s">
        <v>18</v>
      </c>
      <c r="E140" s="2" t="s">
        <v>406</v>
      </c>
      <c r="F140" s="2" t="s">
        <v>117</v>
      </c>
    </row>
    <row r="141" spans="1:6" x14ac:dyDescent="0.25">
      <c r="A141" s="2" t="s">
        <v>407</v>
      </c>
      <c r="B141" s="2" t="s">
        <v>401</v>
      </c>
      <c r="C141" s="2">
        <v>56</v>
      </c>
      <c r="D141" s="2" t="s">
        <v>27</v>
      </c>
      <c r="E141" s="2" t="s">
        <v>408</v>
      </c>
      <c r="F141" s="2" t="s">
        <v>39</v>
      </c>
    </row>
    <row r="142" spans="1:6" x14ac:dyDescent="0.25">
      <c r="A142" s="2" t="s">
        <v>409</v>
      </c>
      <c r="B142" s="2" t="s">
        <v>410</v>
      </c>
      <c r="C142" s="2">
        <v>25</v>
      </c>
      <c r="D142" s="2" t="s">
        <v>27</v>
      </c>
      <c r="E142" s="2" t="s">
        <v>411</v>
      </c>
      <c r="F142" s="2" t="s">
        <v>10</v>
      </c>
    </row>
    <row r="143" spans="1:6" x14ac:dyDescent="0.25">
      <c r="A143" s="2" t="s">
        <v>412</v>
      </c>
      <c r="B143" s="2" t="s">
        <v>413</v>
      </c>
      <c r="C143" s="2">
        <v>61</v>
      </c>
      <c r="D143" s="2" t="s">
        <v>13</v>
      </c>
      <c r="E143" s="2" t="s">
        <v>414</v>
      </c>
      <c r="F143" s="2" t="s">
        <v>39</v>
      </c>
    </row>
    <row r="144" spans="1:6" x14ac:dyDescent="0.25">
      <c r="A144" s="2" t="s">
        <v>63</v>
      </c>
      <c r="B144" s="2" t="s">
        <v>7</v>
      </c>
      <c r="C144" s="2">
        <v>31</v>
      </c>
      <c r="D144" s="2" t="s">
        <v>18</v>
      </c>
      <c r="E144" s="2" t="s">
        <v>415</v>
      </c>
      <c r="F144" s="2" t="s">
        <v>35</v>
      </c>
    </row>
    <row r="145" spans="1:6" x14ac:dyDescent="0.25">
      <c r="A145" s="2" t="s">
        <v>416</v>
      </c>
      <c r="B145" s="2" t="s">
        <v>417</v>
      </c>
      <c r="C145" s="2">
        <v>39</v>
      </c>
      <c r="D145" s="2" t="s">
        <v>42</v>
      </c>
      <c r="E145" s="2" t="s">
        <v>418</v>
      </c>
      <c r="F145" s="2" t="s">
        <v>127</v>
      </c>
    </row>
    <row r="146" spans="1:6" x14ac:dyDescent="0.25">
      <c r="A146" s="2" t="s">
        <v>107</v>
      </c>
      <c r="B146" s="2" t="s">
        <v>419</v>
      </c>
      <c r="C146" s="2">
        <v>32</v>
      </c>
      <c r="D146" s="2" t="s">
        <v>18</v>
      </c>
      <c r="E146" s="2" t="s">
        <v>420</v>
      </c>
      <c r="F146" s="2" t="s">
        <v>39</v>
      </c>
    </row>
    <row r="147" spans="1:6" x14ac:dyDescent="0.25">
      <c r="A147" s="2" t="s">
        <v>421</v>
      </c>
      <c r="B147" s="2" t="s">
        <v>422</v>
      </c>
      <c r="C147" s="2">
        <v>34</v>
      </c>
      <c r="D147" s="2" t="s">
        <v>8</v>
      </c>
      <c r="E147" s="2" t="s">
        <v>423</v>
      </c>
      <c r="F147" s="2" t="s">
        <v>127</v>
      </c>
    </row>
    <row r="148" spans="1:6" x14ac:dyDescent="0.25">
      <c r="A148" s="2" t="s">
        <v>424</v>
      </c>
      <c r="B148" s="2" t="s">
        <v>425</v>
      </c>
      <c r="C148" s="2">
        <v>34</v>
      </c>
      <c r="D148" s="2" t="s">
        <v>18</v>
      </c>
      <c r="E148" s="2" t="s">
        <v>426</v>
      </c>
      <c r="F148" s="2" t="s">
        <v>117</v>
      </c>
    </row>
    <row r="149" spans="1:6" x14ac:dyDescent="0.25">
      <c r="A149" s="2" t="s">
        <v>151</v>
      </c>
      <c r="B149" s="2" t="s">
        <v>427</v>
      </c>
      <c r="C149" s="2">
        <v>49</v>
      </c>
      <c r="D149" s="2" t="s">
        <v>13</v>
      </c>
      <c r="E149" s="2" t="s">
        <v>428</v>
      </c>
      <c r="F149" s="2" t="s">
        <v>24</v>
      </c>
    </row>
    <row r="150" spans="1:6" x14ac:dyDescent="0.25">
      <c r="A150" s="2" t="s">
        <v>429</v>
      </c>
      <c r="B150" s="2" t="s">
        <v>430</v>
      </c>
      <c r="C150" s="2">
        <v>22</v>
      </c>
      <c r="D150" s="2" t="s">
        <v>42</v>
      </c>
      <c r="E150" s="2" t="s">
        <v>431</v>
      </c>
      <c r="F150" s="2" t="s">
        <v>47</v>
      </c>
    </row>
    <row r="151" spans="1:6" x14ac:dyDescent="0.25">
      <c r="A151" s="2" t="s">
        <v>432</v>
      </c>
      <c r="B151" s="2" t="s">
        <v>433</v>
      </c>
      <c r="C151" s="2">
        <v>20</v>
      </c>
      <c r="D151" s="2" t="s">
        <v>42</v>
      </c>
      <c r="E151" s="2" t="s">
        <v>434</v>
      </c>
      <c r="F151" s="2" t="s">
        <v>15</v>
      </c>
    </row>
    <row r="152" spans="1:6" x14ac:dyDescent="0.25">
      <c r="A152" s="2" t="s">
        <v>435</v>
      </c>
      <c r="B152" s="2" t="s">
        <v>436</v>
      </c>
      <c r="C152" s="2">
        <v>28</v>
      </c>
      <c r="D152" s="2" t="s">
        <v>13</v>
      </c>
      <c r="E152" s="2" t="s">
        <v>437</v>
      </c>
      <c r="F152" s="2" t="s">
        <v>20</v>
      </c>
    </row>
    <row r="153" spans="1:6" x14ac:dyDescent="0.25">
      <c r="A153" s="2" t="s">
        <v>353</v>
      </c>
      <c r="B153" s="2" t="s">
        <v>343</v>
      </c>
      <c r="C153" s="2">
        <v>20</v>
      </c>
      <c r="D153" s="2" t="s">
        <v>13</v>
      </c>
      <c r="E153" s="2" t="s">
        <v>438</v>
      </c>
      <c r="F153" s="2" t="s">
        <v>110</v>
      </c>
    </row>
    <row r="154" spans="1:6" x14ac:dyDescent="0.25">
      <c r="A154" s="2" t="s">
        <v>439</v>
      </c>
      <c r="B154" s="2" t="s">
        <v>200</v>
      </c>
      <c r="C154" s="2">
        <v>64</v>
      </c>
      <c r="D154" s="2" t="s">
        <v>27</v>
      </c>
      <c r="E154" s="2" t="s">
        <v>440</v>
      </c>
      <c r="F154" s="2" t="s">
        <v>15</v>
      </c>
    </row>
    <row r="155" spans="1:6" x14ac:dyDescent="0.25">
      <c r="A155" s="2" t="s">
        <v>441</v>
      </c>
      <c r="B155" s="2" t="s">
        <v>442</v>
      </c>
      <c r="C155" s="2">
        <v>63</v>
      </c>
      <c r="D155" s="2" t="s">
        <v>13</v>
      </c>
      <c r="E155" s="2" t="s">
        <v>443</v>
      </c>
      <c r="F155" s="2" t="s">
        <v>35</v>
      </c>
    </row>
    <row r="156" spans="1:6" x14ac:dyDescent="0.25">
      <c r="A156" s="2" t="s">
        <v>271</v>
      </c>
      <c r="B156" s="2" t="s">
        <v>444</v>
      </c>
      <c r="C156" s="2">
        <v>42</v>
      </c>
      <c r="D156" s="2" t="s">
        <v>42</v>
      </c>
      <c r="E156" s="2" t="s">
        <v>445</v>
      </c>
      <c r="F156" s="2" t="s">
        <v>117</v>
      </c>
    </row>
    <row r="157" spans="1:6" x14ac:dyDescent="0.25">
      <c r="A157" s="2" t="s">
        <v>60</v>
      </c>
      <c r="B157" s="2" t="s">
        <v>446</v>
      </c>
      <c r="C157" s="2">
        <v>23</v>
      </c>
      <c r="D157" s="2" t="s">
        <v>13</v>
      </c>
      <c r="E157" s="2" t="s">
        <v>447</v>
      </c>
      <c r="F157" s="2" t="s">
        <v>24</v>
      </c>
    </row>
    <row r="158" spans="1:6" x14ac:dyDescent="0.25">
      <c r="A158" s="2" t="s">
        <v>448</v>
      </c>
      <c r="B158" s="2" t="s">
        <v>449</v>
      </c>
      <c r="C158" s="2">
        <v>37</v>
      </c>
      <c r="D158" s="2" t="s">
        <v>13</v>
      </c>
      <c r="E158" s="2" t="s">
        <v>450</v>
      </c>
      <c r="F158" s="2" t="s">
        <v>20</v>
      </c>
    </row>
    <row r="159" spans="1:6" x14ac:dyDescent="0.25">
      <c r="A159" s="2" t="s">
        <v>60</v>
      </c>
      <c r="B159" s="2" t="s">
        <v>451</v>
      </c>
      <c r="C159" s="2">
        <v>30</v>
      </c>
      <c r="D159" s="2" t="s">
        <v>42</v>
      </c>
      <c r="E159" s="2" t="s">
        <v>452</v>
      </c>
      <c r="F159" s="2" t="s">
        <v>20</v>
      </c>
    </row>
    <row r="160" spans="1:6" x14ac:dyDescent="0.25">
      <c r="A160" s="2" t="s">
        <v>143</v>
      </c>
      <c r="B160" s="2" t="s">
        <v>453</v>
      </c>
      <c r="C160" s="2">
        <v>46</v>
      </c>
      <c r="D160" s="2" t="s">
        <v>27</v>
      </c>
      <c r="E160" s="2" t="s">
        <v>454</v>
      </c>
      <c r="F160" s="2" t="s">
        <v>117</v>
      </c>
    </row>
    <row r="161" spans="1:6" x14ac:dyDescent="0.25">
      <c r="A161" s="2" t="s">
        <v>409</v>
      </c>
      <c r="B161" s="2" t="s">
        <v>455</v>
      </c>
      <c r="C161" s="2">
        <v>50</v>
      </c>
      <c r="D161" s="2" t="s">
        <v>8</v>
      </c>
      <c r="E161" s="2" t="s">
        <v>456</v>
      </c>
      <c r="F161" s="2" t="s">
        <v>10</v>
      </c>
    </row>
    <row r="162" spans="1:6" x14ac:dyDescent="0.25">
      <c r="A162" s="2" t="s">
        <v>457</v>
      </c>
      <c r="B162" s="2" t="s">
        <v>458</v>
      </c>
      <c r="C162" s="2">
        <v>43</v>
      </c>
      <c r="D162" s="2" t="s">
        <v>13</v>
      </c>
      <c r="E162" s="2" t="s">
        <v>459</v>
      </c>
      <c r="F162" s="2" t="s">
        <v>35</v>
      </c>
    </row>
    <row r="163" spans="1:6" x14ac:dyDescent="0.25">
      <c r="A163" s="2" t="s">
        <v>460</v>
      </c>
      <c r="B163" s="2" t="s">
        <v>461</v>
      </c>
      <c r="C163" s="2">
        <v>56</v>
      </c>
      <c r="D163" s="2" t="s">
        <v>27</v>
      </c>
      <c r="E163" s="2" t="s">
        <v>462</v>
      </c>
      <c r="F163" s="2" t="s">
        <v>24</v>
      </c>
    </row>
    <row r="164" spans="1:6" x14ac:dyDescent="0.25">
      <c r="A164" s="2" t="s">
        <v>463</v>
      </c>
      <c r="B164" s="2" t="s">
        <v>464</v>
      </c>
      <c r="C164" s="2">
        <v>49</v>
      </c>
      <c r="D164" s="2" t="s">
        <v>18</v>
      </c>
      <c r="E164" s="2" t="s">
        <v>465</v>
      </c>
      <c r="F164" s="2" t="s">
        <v>117</v>
      </c>
    </row>
    <row r="165" spans="1:6" x14ac:dyDescent="0.25">
      <c r="A165" s="2" t="s">
        <v>16</v>
      </c>
      <c r="B165" s="2" t="s">
        <v>466</v>
      </c>
      <c r="C165" s="2">
        <v>51</v>
      </c>
      <c r="D165" s="2" t="s">
        <v>42</v>
      </c>
      <c r="E165" s="2" t="s">
        <v>467</v>
      </c>
      <c r="F165" s="2" t="s">
        <v>47</v>
      </c>
    </row>
    <row r="166" spans="1:6" x14ac:dyDescent="0.25">
      <c r="A166" s="2" t="s">
        <v>353</v>
      </c>
      <c r="B166" s="2" t="s">
        <v>468</v>
      </c>
      <c r="C166" s="2">
        <v>38</v>
      </c>
      <c r="D166" s="2" t="s">
        <v>18</v>
      </c>
      <c r="E166" s="2" t="s">
        <v>469</v>
      </c>
      <c r="F166" s="2" t="s">
        <v>20</v>
      </c>
    </row>
    <row r="167" spans="1:6" x14ac:dyDescent="0.25">
      <c r="A167" s="2" t="s">
        <v>60</v>
      </c>
      <c r="B167" s="2" t="s">
        <v>470</v>
      </c>
      <c r="C167" s="2">
        <v>61</v>
      </c>
      <c r="D167" s="2" t="s">
        <v>13</v>
      </c>
      <c r="E167" s="2" t="s">
        <v>471</v>
      </c>
      <c r="F167" s="2" t="s">
        <v>127</v>
      </c>
    </row>
    <row r="168" spans="1:6" x14ac:dyDescent="0.25">
      <c r="A168" s="2" t="s">
        <v>286</v>
      </c>
      <c r="B168" s="2" t="s">
        <v>472</v>
      </c>
      <c r="C168" s="2">
        <v>46</v>
      </c>
      <c r="D168" s="2" t="s">
        <v>27</v>
      </c>
      <c r="E168" s="2" t="s">
        <v>473</v>
      </c>
      <c r="F168" s="2" t="s">
        <v>39</v>
      </c>
    </row>
    <row r="169" spans="1:6" x14ac:dyDescent="0.25">
      <c r="A169" s="2" t="s">
        <v>474</v>
      </c>
      <c r="B169" s="2" t="s">
        <v>475</v>
      </c>
      <c r="C169" s="2">
        <v>58</v>
      </c>
      <c r="D169" s="2" t="s">
        <v>13</v>
      </c>
      <c r="E169" s="2" t="s">
        <v>476</v>
      </c>
      <c r="F169" s="2" t="s">
        <v>15</v>
      </c>
    </row>
    <row r="170" spans="1:6" x14ac:dyDescent="0.25">
      <c r="A170" s="2" t="s">
        <v>477</v>
      </c>
      <c r="B170" s="2" t="s">
        <v>478</v>
      </c>
      <c r="C170" s="2">
        <v>37</v>
      </c>
      <c r="D170" s="2" t="s">
        <v>42</v>
      </c>
      <c r="E170" s="2" t="s">
        <v>479</v>
      </c>
      <c r="F170" s="2" t="s">
        <v>15</v>
      </c>
    </row>
    <row r="171" spans="1:6" x14ac:dyDescent="0.25">
      <c r="A171" s="2" t="s">
        <v>480</v>
      </c>
      <c r="B171" s="2" t="s">
        <v>481</v>
      </c>
      <c r="C171" s="2">
        <v>62</v>
      </c>
      <c r="D171" s="2" t="s">
        <v>27</v>
      </c>
      <c r="E171" s="2" t="s">
        <v>482</v>
      </c>
      <c r="F171" s="2" t="s">
        <v>39</v>
      </c>
    </row>
    <row r="172" spans="1:6" x14ac:dyDescent="0.25">
      <c r="A172" s="2" t="s">
        <v>364</v>
      </c>
      <c r="B172" s="2" t="s">
        <v>483</v>
      </c>
      <c r="C172" s="2">
        <v>54</v>
      </c>
      <c r="D172" s="2" t="s">
        <v>27</v>
      </c>
      <c r="E172" s="2" t="s">
        <v>484</v>
      </c>
      <c r="F172" s="2" t="s">
        <v>15</v>
      </c>
    </row>
    <row r="173" spans="1:6" x14ac:dyDescent="0.25">
      <c r="A173" s="2" t="s">
        <v>111</v>
      </c>
      <c r="B173" s="2" t="s">
        <v>485</v>
      </c>
      <c r="C173" s="2">
        <v>59</v>
      </c>
      <c r="D173" s="2" t="s">
        <v>27</v>
      </c>
      <c r="E173" s="2" t="s">
        <v>486</v>
      </c>
      <c r="F173" s="2" t="s">
        <v>15</v>
      </c>
    </row>
    <row r="174" spans="1:6" x14ac:dyDescent="0.25">
      <c r="A174" s="2" t="s">
        <v>487</v>
      </c>
      <c r="B174" s="2" t="s">
        <v>488</v>
      </c>
      <c r="C174" s="2">
        <v>35</v>
      </c>
      <c r="D174" s="2" t="s">
        <v>18</v>
      </c>
      <c r="E174" s="2" t="s">
        <v>489</v>
      </c>
      <c r="F174" s="2" t="s">
        <v>15</v>
      </c>
    </row>
    <row r="175" spans="1:6" x14ac:dyDescent="0.25">
      <c r="A175" s="2" t="s">
        <v>490</v>
      </c>
      <c r="B175" s="2" t="s">
        <v>491</v>
      </c>
      <c r="C175" s="2">
        <v>27</v>
      </c>
      <c r="D175" s="2" t="s">
        <v>27</v>
      </c>
      <c r="E175" s="2" t="s">
        <v>492</v>
      </c>
      <c r="F175" s="2" t="s">
        <v>127</v>
      </c>
    </row>
    <row r="176" spans="1:6" x14ac:dyDescent="0.25">
      <c r="A176" s="2" t="s">
        <v>493</v>
      </c>
      <c r="B176" s="2" t="s">
        <v>494</v>
      </c>
      <c r="C176" s="2">
        <v>39</v>
      </c>
      <c r="D176" s="2" t="s">
        <v>8</v>
      </c>
      <c r="E176" s="2" t="s">
        <v>495</v>
      </c>
      <c r="F176" s="2" t="s">
        <v>35</v>
      </c>
    </row>
    <row r="177" spans="1:6" x14ac:dyDescent="0.25">
      <c r="A177" s="2" t="s">
        <v>496</v>
      </c>
      <c r="B177" s="2" t="s">
        <v>497</v>
      </c>
      <c r="C177" s="2">
        <v>35</v>
      </c>
      <c r="D177" s="2" t="s">
        <v>42</v>
      </c>
      <c r="E177" s="2" t="s">
        <v>498</v>
      </c>
      <c r="F177" s="2" t="s">
        <v>20</v>
      </c>
    </row>
    <row r="178" spans="1:6" x14ac:dyDescent="0.25">
      <c r="A178" s="2" t="s">
        <v>499</v>
      </c>
      <c r="B178" s="2" t="s">
        <v>500</v>
      </c>
      <c r="C178" s="2">
        <v>64</v>
      </c>
      <c r="D178" s="2" t="s">
        <v>27</v>
      </c>
      <c r="E178" s="2" t="s">
        <v>501</v>
      </c>
      <c r="F178" s="2" t="s">
        <v>24</v>
      </c>
    </row>
    <row r="179" spans="1:6" x14ac:dyDescent="0.25">
      <c r="A179" s="2" t="s">
        <v>424</v>
      </c>
      <c r="B179" s="2" t="s">
        <v>502</v>
      </c>
      <c r="C179" s="2">
        <v>47</v>
      </c>
      <c r="D179" s="2" t="s">
        <v>27</v>
      </c>
      <c r="E179" s="2" t="s">
        <v>503</v>
      </c>
      <c r="F179" s="2" t="s">
        <v>39</v>
      </c>
    </row>
    <row r="180" spans="1:6" x14ac:dyDescent="0.25">
      <c r="A180" s="2" t="s">
        <v>66</v>
      </c>
      <c r="B180" s="2" t="s">
        <v>504</v>
      </c>
      <c r="C180" s="2">
        <v>36</v>
      </c>
      <c r="D180" s="2" t="s">
        <v>13</v>
      </c>
      <c r="E180" s="2" t="s">
        <v>505</v>
      </c>
      <c r="F180" s="2" t="s">
        <v>110</v>
      </c>
    </row>
    <row r="181" spans="1:6" x14ac:dyDescent="0.25">
      <c r="A181" s="2" t="s">
        <v>460</v>
      </c>
      <c r="B181" s="2" t="s">
        <v>506</v>
      </c>
      <c r="C181" s="2">
        <v>52</v>
      </c>
      <c r="D181" s="2" t="s">
        <v>13</v>
      </c>
      <c r="E181" s="2" t="s">
        <v>507</v>
      </c>
      <c r="F181" s="2" t="s">
        <v>117</v>
      </c>
    </row>
    <row r="182" spans="1:6" x14ac:dyDescent="0.25">
      <c r="A182" s="2" t="s">
        <v>69</v>
      </c>
      <c r="B182" s="2" t="s">
        <v>508</v>
      </c>
      <c r="C182" s="2">
        <v>61</v>
      </c>
      <c r="D182" s="2" t="s">
        <v>8</v>
      </c>
      <c r="E182" s="2" t="s">
        <v>509</v>
      </c>
      <c r="F182" s="2" t="s">
        <v>39</v>
      </c>
    </row>
    <row r="183" spans="1:6" x14ac:dyDescent="0.25">
      <c r="A183" s="2" t="s">
        <v>510</v>
      </c>
      <c r="B183" s="2" t="s">
        <v>511</v>
      </c>
      <c r="C183" s="2">
        <v>36</v>
      </c>
      <c r="D183" s="2" t="s">
        <v>27</v>
      </c>
      <c r="E183" s="2" t="s">
        <v>512</v>
      </c>
      <c r="F183" s="2" t="s">
        <v>39</v>
      </c>
    </row>
    <row r="184" spans="1:6" x14ac:dyDescent="0.25">
      <c r="A184" s="2" t="s">
        <v>513</v>
      </c>
      <c r="B184" s="2" t="s">
        <v>514</v>
      </c>
      <c r="C184" s="2">
        <v>22</v>
      </c>
      <c r="D184" s="2" t="s">
        <v>42</v>
      </c>
      <c r="E184" s="2" t="s">
        <v>515</v>
      </c>
      <c r="F184" s="2" t="s">
        <v>35</v>
      </c>
    </row>
    <row r="185" spans="1:6" x14ac:dyDescent="0.25">
      <c r="A185" s="2" t="s">
        <v>101</v>
      </c>
      <c r="B185" s="2" t="s">
        <v>516</v>
      </c>
      <c r="C185" s="2">
        <v>61</v>
      </c>
      <c r="D185" s="2" t="s">
        <v>27</v>
      </c>
      <c r="E185" s="2" t="s">
        <v>517</v>
      </c>
      <c r="F185" s="2" t="s">
        <v>10</v>
      </c>
    </row>
    <row r="186" spans="1:6" x14ac:dyDescent="0.25">
      <c r="A186" s="2" t="s">
        <v>518</v>
      </c>
      <c r="B186" s="2" t="s">
        <v>519</v>
      </c>
      <c r="C186" s="2">
        <v>60</v>
      </c>
      <c r="D186" s="2" t="s">
        <v>42</v>
      </c>
      <c r="E186" s="2" t="s">
        <v>520</v>
      </c>
      <c r="F186" s="2" t="s">
        <v>10</v>
      </c>
    </row>
    <row r="187" spans="1:6" x14ac:dyDescent="0.25">
      <c r="A187" s="2" t="s">
        <v>521</v>
      </c>
      <c r="B187" s="2" t="s">
        <v>522</v>
      </c>
      <c r="C187" s="2">
        <v>44</v>
      </c>
      <c r="D187" s="2" t="s">
        <v>27</v>
      </c>
      <c r="E187" s="2" t="s">
        <v>523</v>
      </c>
      <c r="F187" s="2" t="s">
        <v>20</v>
      </c>
    </row>
    <row r="188" spans="1:6" x14ac:dyDescent="0.25">
      <c r="A188" s="2" t="s">
        <v>429</v>
      </c>
      <c r="B188" s="2" t="s">
        <v>524</v>
      </c>
      <c r="C188" s="2">
        <v>47</v>
      </c>
      <c r="D188" s="2" t="s">
        <v>42</v>
      </c>
      <c r="E188" s="2" t="s">
        <v>525</v>
      </c>
      <c r="F188" s="2" t="s">
        <v>24</v>
      </c>
    </row>
    <row r="189" spans="1:6" x14ac:dyDescent="0.25">
      <c r="A189" s="2" t="s">
        <v>317</v>
      </c>
      <c r="B189" s="2" t="s">
        <v>526</v>
      </c>
      <c r="C189" s="2">
        <v>29</v>
      </c>
      <c r="D189" s="2" t="s">
        <v>13</v>
      </c>
      <c r="E189" s="2" t="s">
        <v>527</v>
      </c>
      <c r="F189" s="2" t="s">
        <v>35</v>
      </c>
    </row>
    <row r="190" spans="1:6" x14ac:dyDescent="0.25">
      <c r="A190" s="2" t="s">
        <v>528</v>
      </c>
      <c r="B190" s="2" t="s">
        <v>82</v>
      </c>
      <c r="C190" s="2">
        <v>54</v>
      </c>
      <c r="D190" s="2" t="s">
        <v>42</v>
      </c>
      <c r="E190" s="2" t="s">
        <v>529</v>
      </c>
      <c r="F190" s="2" t="s">
        <v>127</v>
      </c>
    </row>
    <row r="191" spans="1:6" x14ac:dyDescent="0.25">
      <c r="A191" s="2" t="s">
        <v>530</v>
      </c>
      <c r="B191" s="2" t="s">
        <v>531</v>
      </c>
      <c r="C191" s="2">
        <v>47</v>
      </c>
      <c r="D191" s="2" t="s">
        <v>8</v>
      </c>
      <c r="E191" s="2" t="s">
        <v>532</v>
      </c>
      <c r="F191" s="2" t="s">
        <v>47</v>
      </c>
    </row>
    <row r="192" spans="1:6" x14ac:dyDescent="0.25">
      <c r="A192" s="2" t="s">
        <v>367</v>
      </c>
      <c r="B192" s="2" t="s">
        <v>351</v>
      </c>
      <c r="C192" s="2">
        <v>37</v>
      </c>
      <c r="D192" s="2" t="s">
        <v>13</v>
      </c>
      <c r="E192" s="2" t="s">
        <v>533</v>
      </c>
      <c r="F192" s="2" t="s">
        <v>35</v>
      </c>
    </row>
    <row r="193" spans="1:6" x14ac:dyDescent="0.25">
      <c r="A193" s="2" t="s">
        <v>534</v>
      </c>
      <c r="B193" s="2" t="s">
        <v>535</v>
      </c>
      <c r="C193" s="2">
        <v>33</v>
      </c>
      <c r="D193" s="2" t="s">
        <v>27</v>
      </c>
      <c r="E193" s="2" t="s">
        <v>536</v>
      </c>
      <c r="F193" s="2" t="s">
        <v>15</v>
      </c>
    </row>
    <row r="194" spans="1:6" x14ac:dyDescent="0.25">
      <c r="A194" s="2" t="s">
        <v>537</v>
      </c>
      <c r="B194" s="2" t="s">
        <v>538</v>
      </c>
      <c r="C194" s="2">
        <v>30</v>
      </c>
      <c r="D194" s="2" t="s">
        <v>27</v>
      </c>
      <c r="E194" s="2" t="s">
        <v>539</v>
      </c>
      <c r="F194" s="2" t="s">
        <v>20</v>
      </c>
    </row>
    <row r="195" spans="1:6" x14ac:dyDescent="0.25">
      <c r="A195" s="2" t="s">
        <v>540</v>
      </c>
      <c r="B195" s="2" t="s">
        <v>541</v>
      </c>
      <c r="C195" s="2">
        <v>51</v>
      </c>
      <c r="D195" s="2" t="s">
        <v>18</v>
      </c>
      <c r="E195" s="2" t="s">
        <v>542</v>
      </c>
      <c r="F195" s="2" t="s">
        <v>110</v>
      </c>
    </row>
    <row r="196" spans="1:6" x14ac:dyDescent="0.25">
      <c r="A196" s="2" t="s">
        <v>543</v>
      </c>
      <c r="B196" s="2" t="s">
        <v>175</v>
      </c>
      <c r="C196" s="2">
        <v>58</v>
      </c>
      <c r="D196" s="2" t="s">
        <v>27</v>
      </c>
      <c r="E196" s="2" t="s">
        <v>544</v>
      </c>
      <c r="F196" s="2" t="s">
        <v>35</v>
      </c>
    </row>
    <row r="197" spans="1:6" x14ac:dyDescent="0.25">
      <c r="A197" s="2" t="s">
        <v>545</v>
      </c>
      <c r="B197" s="2" t="s">
        <v>318</v>
      </c>
      <c r="C197" s="2">
        <v>39</v>
      </c>
      <c r="D197" s="2" t="s">
        <v>13</v>
      </c>
      <c r="E197" s="2" t="s">
        <v>546</v>
      </c>
      <c r="F197" s="2" t="s">
        <v>15</v>
      </c>
    </row>
    <row r="198" spans="1:6" x14ac:dyDescent="0.25">
      <c r="A198" s="2" t="s">
        <v>547</v>
      </c>
      <c r="B198" s="2" t="s">
        <v>548</v>
      </c>
      <c r="C198" s="2">
        <v>33</v>
      </c>
      <c r="D198" s="2" t="s">
        <v>13</v>
      </c>
      <c r="E198" s="2" t="s">
        <v>549</v>
      </c>
      <c r="F198" s="2" t="s">
        <v>127</v>
      </c>
    </row>
    <row r="199" spans="1:6" x14ac:dyDescent="0.25">
      <c r="A199" s="2" t="s">
        <v>550</v>
      </c>
      <c r="B199" s="2" t="s">
        <v>551</v>
      </c>
      <c r="C199" s="2">
        <v>49</v>
      </c>
      <c r="D199" s="2" t="s">
        <v>27</v>
      </c>
      <c r="E199" s="2" t="s">
        <v>552</v>
      </c>
      <c r="F199" s="2" t="s">
        <v>20</v>
      </c>
    </row>
    <row r="200" spans="1:6" x14ac:dyDescent="0.25">
      <c r="A200" s="2" t="s">
        <v>553</v>
      </c>
      <c r="B200" s="2" t="s">
        <v>554</v>
      </c>
      <c r="C200" s="2">
        <v>47</v>
      </c>
      <c r="D200" s="2" t="s">
        <v>18</v>
      </c>
      <c r="E200" s="2" t="s">
        <v>555</v>
      </c>
      <c r="F200" s="2" t="s">
        <v>39</v>
      </c>
    </row>
    <row r="201" spans="1:6" x14ac:dyDescent="0.25">
      <c r="A201" s="2" t="s">
        <v>353</v>
      </c>
      <c r="B201" s="2" t="s">
        <v>556</v>
      </c>
      <c r="C201" s="2">
        <v>47</v>
      </c>
      <c r="D201" s="2" t="s">
        <v>8</v>
      </c>
      <c r="E201" s="2" t="s">
        <v>557</v>
      </c>
      <c r="F201" s="2" t="s">
        <v>117</v>
      </c>
    </row>
    <row r="202" spans="1:6" x14ac:dyDescent="0.25">
      <c r="A202" s="2" t="s">
        <v>558</v>
      </c>
      <c r="B202" s="2" t="s">
        <v>559</v>
      </c>
      <c r="C202" s="2">
        <v>20</v>
      </c>
      <c r="D202" s="2" t="s">
        <v>18</v>
      </c>
      <c r="E202" s="2" t="s">
        <v>560</v>
      </c>
      <c r="F202" s="2" t="s">
        <v>10</v>
      </c>
    </row>
    <row r="203" spans="1:6" x14ac:dyDescent="0.25">
      <c r="A203" s="2" t="s">
        <v>561</v>
      </c>
      <c r="B203" s="2" t="s">
        <v>562</v>
      </c>
      <c r="C203" s="2">
        <v>32</v>
      </c>
      <c r="D203" s="2" t="s">
        <v>18</v>
      </c>
      <c r="E203" s="2" t="s">
        <v>563</v>
      </c>
      <c r="F203" s="2" t="s">
        <v>24</v>
      </c>
    </row>
    <row r="204" spans="1:6" x14ac:dyDescent="0.25">
      <c r="A204" s="2" t="s">
        <v>564</v>
      </c>
      <c r="B204" s="2" t="s">
        <v>565</v>
      </c>
      <c r="C204" s="2">
        <v>20</v>
      </c>
      <c r="D204" s="2" t="s">
        <v>13</v>
      </c>
      <c r="E204" s="2" t="s">
        <v>566</v>
      </c>
      <c r="F204" s="2" t="s">
        <v>39</v>
      </c>
    </row>
    <row r="205" spans="1:6" x14ac:dyDescent="0.25">
      <c r="A205" s="2" t="s">
        <v>54</v>
      </c>
      <c r="B205" s="2" t="s">
        <v>464</v>
      </c>
      <c r="C205" s="2">
        <v>27</v>
      </c>
      <c r="D205" s="2" t="s">
        <v>13</v>
      </c>
      <c r="E205" s="2" t="s">
        <v>567</v>
      </c>
      <c r="F205" s="2" t="s">
        <v>39</v>
      </c>
    </row>
    <row r="206" spans="1:6" x14ac:dyDescent="0.25">
      <c r="A206" s="2" t="s">
        <v>568</v>
      </c>
      <c r="B206" s="2" t="s">
        <v>569</v>
      </c>
      <c r="C206" s="2">
        <v>65</v>
      </c>
      <c r="D206" s="2" t="s">
        <v>8</v>
      </c>
      <c r="E206" s="2" t="s">
        <v>570</v>
      </c>
      <c r="F206" s="2" t="s">
        <v>15</v>
      </c>
    </row>
    <row r="207" spans="1:6" x14ac:dyDescent="0.25">
      <c r="A207" s="2" t="s">
        <v>571</v>
      </c>
      <c r="B207" s="2" t="s">
        <v>506</v>
      </c>
      <c r="C207" s="2">
        <v>22</v>
      </c>
      <c r="D207" s="2" t="s">
        <v>18</v>
      </c>
      <c r="E207" s="2" t="s">
        <v>572</v>
      </c>
      <c r="F207" s="2" t="s">
        <v>24</v>
      </c>
    </row>
    <row r="208" spans="1:6" x14ac:dyDescent="0.25">
      <c r="A208" s="2" t="s">
        <v>385</v>
      </c>
      <c r="B208" s="2" t="s">
        <v>573</v>
      </c>
      <c r="C208" s="2">
        <v>54</v>
      </c>
      <c r="D208" s="2" t="s">
        <v>8</v>
      </c>
      <c r="E208" s="2" t="s">
        <v>574</v>
      </c>
      <c r="F208" s="2" t="s">
        <v>20</v>
      </c>
    </row>
    <row r="209" spans="1:6" x14ac:dyDescent="0.25">
      <c r="A209" s="2" t="s">
        <v>575</v>
      </c>
      <c r="B209" s="2" t="s">
        <v>576</v>
      </c>
      <c r="C209" s="2">
        <v>50</v>
      </c>
      <c r="D209" s="2" t="s">
        <v>8</v>
      </c>
      <c r="E209" s="2" t="s">
        <v>577</v>
      </c>
      <c r="F209" s="2" t="s">
        <v>35</v>
      </c>
    </row>
    <row r="210" spans="1:6" x14ac:dyDescent="0.25">
      <c r="A210" s="2" t="s">
        <v>25</v>
      </c>
      <c r="B210" s="2" t="s">
        <v>578</v>
      </c>
      <c r="C210" s="2">
        <v>20</v>
      </c>
      <c r="D210" s="2" t="s">
        <v>18</v>
      </c>
      <c r="E210" s="2" t="s">
        <v>579</v>
      </c>
      <c r="F210" s="2" t="s">
        <v>39</v>
      </c>
    </row>
    <row r="211" spans="1:6" x14ac:dyDescent="0.25">
      <c r="A211" s="2" t="s">
        <v>580</v>
      </c>
      <c r="B211" s="2" t="s">
        <v>581</v>
      </c>
      <c r="C211" s="2">
        <v>56</v>
      </c>
      <c r="D211" s="2" t="s">
        <v>13</v>
      </c>
      <c r="E211" s="2" t="s">
        <v>582</v>
      </c>
      <c r="F211" s="2" t="s">
        <v>117</v>
      </c>
    </row>
    <row r="212" spans="1:6" x14ac:dyDescent="0.25">
      <c r="A212" s="2" t="s">
        <v>583</v>
      </c>
      <c r="B212" s="2" t="s">
        <v>584</v>
      </c>
      <c r="C212" s="2">
        <v>45</v>
      </c>
      <c r="D212" s="2" t="s">
        <v>13</v>
      </c>
      <c r="E212" s="2" t="s">
        <v>585</v>
      </c>
      <c r="F212" s="2" t="s">
        <v>10</v>
      </c>
    </row>
    <row r="213" spans="1:6" x14ac:dyDescent="0.25">
      <c r="A213" s="2" t="s">
        <v>448</v>
      </c>
      <c r="B213" s="2" t="s">
        <v>586</v>
      </c>
      <c r="C213" s="2">
        <v>55</v>
      </c>
      <c r="D213" s="2" t="s">
        <v>13</v>
      </c>
      <c r="E213" s="2" t="s">
        <v>587</v>
      </c>
      <c r="F213" s="2" t="s">
        <v>20</v>
      </c>
    </row>
    <row r="214" spans="1:6" x14ac:dyDescent="0.25">
      <c r="A214" s="2" t="s">
        <v>588</v>
      </c>
      <c r="B214" s="2" t="s">
        <v>589</v>
      </c>
      <c r="C214" s="2">
        <v>42</v>
      </c>
      <c r="D214" s="2" t="s">
        <v>18</v>
      </c>
      <c r="E214" s="2" t="s">
        <v>590</v>
      </c>
      <c r="F214" s="2" t="s">
        <v>110</v>
      </c>
    </row>
    <row r="215" spans="1:6" x14ac:dyDescent="0.25">
      <c r="A215" s="2" t="s">
        <v>591</v>
      </c>
      <c r="B215" s="2" t="s">
        <v>592</v>
      </c>
      <c r="C215" s="2">
        <v>30</v>
      </c>
      <c r="D215" s="2" t="s">
        <v>42</v>
      </c>
      <c r="E215" s="2" t="s">
        <v>593</v>
      </c>
      <c r="F215" s="2" t="s">
        <v>39</v>
      </c>
    </row>
    <row r="216" spans="1:6" x14ac:dyDescent="0.25">
      <c r="A216" s="2" t="s">
        <v>594</v>
      </c>
      <c r="B216" s="2" t="s">
        <v>595</v>
      </c>
      <c r="C216" s="2">
        <v>20</v>
      </c>
      <c r="D216" s="2" t="s">
        <v>8</v>
      </c>
      <c r="E216" s="2" t="s">
        <v>596</v>
      </c>
      <c r="F216" s="2" t="s">
        <v>24</v>
      </c>
    </row>
    <row r="217" spans="1:6" x14ac:dyDescent="0.25">
      <c r="A217" s="2" t="s">
        <v>597</v>
      </c>
      <c r="B217" s="2" t="s">
        <v>598</v>
      </c>
      <c r="C217" s="2">
        <v>50</v>
      </c>
      <c r="D217" s="2" t="s">
        <v>13</v>
      </c>
      <c r="E217" s="2" t="s">
        <v>599</v>
      </c>
      <c r="F217" s="2" t="s">
        <v>117</v>
      </c>
    </row>
    <row r="218" spans="1:6" x14ac:dyDescent="0.25">
      <c r="A218" s="2" t="s">
        <v>600</v>
      </c>
      <c r="B218" s="2" t="s">
        <v>601</v>
      </c>
      <c r="C218" s="2">
        <v>21</v>
      </c>
      <c r="D218" s="2" t="s">
        <v>13</v>
      </c>
      <c r="E218" s="2" t="s">
        <v>602</v>
      </c>
      <c r="F218" s="2" t="s">
        <v>20</v>
      </c>
    </row>
    <row r="219" spans="1:6" x14ac:dyDescent="0.25">
      <c r="A219" s="2" t="s">
        <v>603</v>
      </c>
      <c r="B219" s="2" t="s">
        <v>604</v>
      </c>
      <c r="C219" s="2">
        <v>47</v>
      </c>
      <c r="D219" s="2" t="s">
        <v>18</v>
      </c>
      <c r="E219" s="2" t="s">
        <v>605</v>
      </c>
      <c r="F219" s="2" t="s">
        <v>47</v>
      </c>
    </row>
    <row r="220" spans="1:6" x14ac:dyDescent="0.25">
      <c r="A220" s="2" t="s">
        <v>78</v>
      </c>
      <c r="B220" s="2" t="s">
        <v>606</v>
      </c>
      <c r="C220" s="2">
        <v>38</v>
      </c>
      <c r="D220" s="2" t="s">
        <v>42</v>
      </c>
      <c r="E220" s="2" t="s">
        <v>607</v>
      </c>
      <c r="F220" s="2" t="s">
        <v>10</v>
      </c>
    </row>
    <row r="221" spans="1:6" x14ac:dyDescent="0.25">
      <c r="A221" s="2" t="s">
        <v>268</v>
      </c>
      <c r="B221" s="2" t="s">
        <v>608</v>
      </c>
      <c r="C221" s="2">
        <v>46</v>
      </c>
      <c r="D221" s="2" t="s">
        <v>8</v>
      </c>
      <c r="E221" s="2" t="s">
        <v>609</v>
      </c>
      <c r="F221" s="2" t="s">
        <v>127</v>
      </c>
    </row>
    <row r="222" spans="1:6" x14ac:dyDescent="0.25">
      <c r="A222" s="2" t="s">
        <v>610</v>
      </c>
      <c r="B222" s="2" t="s">
        <v>611</v>
      </c>
      <c r="C222" s="2">
        <v>30</v>
      </c>
      <c r="D222" s="2" t="s">
        <v>13</v>
      </c>
      <c r="E222" s="2" t="s">
        <v>612</v>
      </c>
      <c r="F222" s="2" t="s">
        <v>110</v>
      </c>
    </row>
    <row r="223" spans="1:6" x14ac:dyDescent="0.25">
      <c r="A223" s="2" t="s">
        <v>95</v>
      </c>
      <c r="B223" s="2" t="s">
        <v>613</v>
      </c>
      <c r="C223" s="2">
        <v>57</v>
      </c>
      <c r="D223" s="2" t="s">
        <v>13</v>
      </c>
      <c r="E223" s="2" t="s">
        <v>614</v>
      </c>
      <c r="F223" s="2" t="s">
        <v>47</v>
      </c>
    </row>
    <row r="224" spans="1:6" x14ac:dyDescent="0.25">
      <c r="A224" s="2" t="s">
        <v>615</v>
      </c>
      <c r="B224" s="2" t="s">
        <v>616</v>
      </c>
      <c r="C224" s="2">
        <v>31</v>
      </c>
      <c r="D224" s="2" t="s">
        <v>18</v>
      </c>
      <c r="E224" s="2" t="s">
        <v>617</v>
      </c>
      <c r="F224" s="2" t="s">
        <v>110</v>
      </c>
    </row>
    <row r="225" spans="1:6" x14ac:dyDescent="0.25">
      <c r="A225" s="2" t="s">
        <v>87</v>
      </c>
      <c r="B225" s="2" t="s">
        <v>618</v>
      </c>
      <c r="C225" s="2">
        <v>56</v>
      </c>
      <c r="D225" s="2" t="s">
        <v>13</v>
      </c>
      <c r="E225" s="2" t="s">
        <v>619</v>
      </c>
      <c r="F225" s="2" t="s">
        <v>47</v>
      </c>
    </row>
    <row r="226" spans="1:6" x14ac:dyDescent="0.25">
      <c r="A226" s="2" t="s">
        <v>98</v>
      </c>
      <c r="B226" s="2" t="s">
        <v>620</v>
      </c>
      <c r="C226" s="2">
        <v>47</v>
      </c>
      <c r="D226" s="2" t="s">
        <v>42</v>
      </c>
      <c r="E226" s="2" t="s">
        <v>621</v>
      </c>
      <c r="F226" s="2" t="s">
        <v>39</v>
      </c>
    </row>
    <row r="227" spans="1:6" x14ac:dyDescent="0.25">
      <c r="A227" s="2" t="s">
        <v>622</v>
      </c>
      <c r="B227" s="2" t="s">
        <v>623</v>
      </c>
      <c r="C227" s="2">
        <v>32</v>
      </c>
      <c r="D227" s="2" t="s">
        <v>42</v>
      </c>
      <c r="E227" s="2" t="s">
        <v>624</v>
      </c>
      <c r="F227" s="2" t="s">
        <v>117</v>
      </c>
    </row>
    <row r="228" spans="1:6" x14ac:dyDescent="0.25">
      <c r="A228" s="2" t="s">
        <v>625</v>
      </c>
      <c r="B228" s="2" t="s">
        <v>626</v>
      </c>
      <c r="C228" s="2">
        <v>30</v>
      </c>
      <c r="D228" s="2" t="s">
        <v>18</v>
      </c>
      <c r="E228" s="2" t="s">
        <v>627</v>
      </c>
      <c r="F228" s="2" t="s">
        <v>117</v>
      </c>
    </row>
    <row r="229" spans="1:6" x14ac:dyDescent="0.25">
      <c r="A229" s="2" t="s">
        <v>628</v>
      </c>
      <c r="B229" s="2" t="s">
        <v>629</v>
      </c>
      <c r="C229" s="2">
        <v>62</v>
      </c>
      <c r="D229" s="2" t="s">
        <v>27</v>
      </c>
      <c r="E229" s="2" t="s">
        <v>630</v>
      </c>
      <c r="F229" s="2" t="s">
        <v>10</v>
      </c>
    </row>
    <row r="230" spans="1:6" x14ac:dyDescent="0.25">
      <c r="A230" s="2" t="s">
        <v>177</v>
      </c>
      <c r="B230" s="2" t="s">
        <v>96</v>
      </c>
      <c r="C230" s="2">
        <v>23</v>
      </c>
      <c r="D230" s="2" t="s">
        <v>8</v>
      </c>
      <c r="E230" s="2" t="s">
        <v>631</v>
      </c>
      <c r="F230" s="2" t="s">
        <v>24</v>
      </c>
    </row>
    <row r="231" spans="1:6" x14ac:dyDescent="0.25">
      <c r="A231" s="2" t="s">
        <v>78</v>
      </c>
      <c r="B231" s="2" t="s">
        <v>632</v>
      </c>
      <c r="C231" s="2">
        <v>25</v>
      </c>
      <c r="D231" s="2" t="s">
        <v>18</v>
      </c>
      <c r="E231" s="2" t="s">
        <v>633</v>
      </c>
      <c r="F231" s="2" t="s">
        <v>15</v>
      </c>
    </row>
    <row r="232" spans="1:6" x14ac:dyDescent="0.25">
      <c r="A232" s="2" t="s">
        <v>634</v>
      </c>
      <c r="B232" s="2" t="s">
        <v>635</v>
      </c>
      <c r="C232" s="2">
        <v>54</v>
      </c>
      <c r="D232" s="2" t="s">
        <v>8</v>
      </c>
      <c r="E232" s="2" t="s">
        <v>636</v>
      </c>
      <c r="F232" s="2" t="s">
        <v>35</v>
      </c>
    </row>
    <row r="233" spans="1:6" x14ac:dyDescent="0.25">
      <c r="A233" s="2" t="s">
        <v>199</v>
      </c>
      <c r="B233" s="2" t="s">
        <v>410</v>
      </c>
      <c r="C233" s="2">
        <v>49</v>
      </c>
      <c r="D233" s="2" t="s">
        <v>8</v>
      </c>
      <c r="E233" s="2" t="s">
        <v>637</v>
      </c>
      <c r="F233" s="2" t="s">
        <v>20</v>
      </c>
    </row>
    <row r="234" spans="1:6" x14ac:dyDescent="0.25">
      <c r="A234" s="2" t="s">
        <v>638</v>
      </c>
      <c r="B234" s="2" t="s">
        <v>639</v>
      </c>
      <c r="C234" s="2">
        <v>62</v>
      </c>
      <c r="D234" s="2" t="s">
        <v>18</v>
      </c>
      <c r="E234" s="2" t="s">
        <v>640</v>
      </c>
      <c r="F234" s="2" t="s">
        <v>15</v>
      </c>
    </row>
    <row r="235" spans="1:6" x14ac:dyDescent="0.25">
      <c r="A235" s="2" t="s">
        <v>641</v>
      </c>
      <c r="B235" s="2" t="s">
        <v>642</v>
      </c>
      <c r="C235" s="2">
        <v>52</v>
      </c>
      <c r="D235" s="2" t="s">
        <v>27</v>
      </c>
      <c r="E235" s="2" t="s">
        <v>643</v>
      </c>
      <c r="F235" s="2" t="s">
        <v>10</v>
      </c>
    </row>
    <row r="236" spans="1:6" x14ac:dyDescent="0.25">
      <c r="A236" s="2" t="s">
        <v>644</v>
      </c>
      <c r="B236" s="2" t="s">
        <v>645</v>
      </c>
      <c r="C236" s="2">
        <v>65</v>
      </c>
      <c r="D236" s="2" t="s">
        <v>27</v>
      </c>
      <c r="E236" s="2" t="s">
        <v>646</v>
      </c>
      <c r="F236" s="2" t="s">
        <v>117</v>
      </c>
    </row>
    <row r="237" spans="1:6" x14ac:dyDescent="0.25">
      <c r="A237" s="2" t="s">
        <v>647</v>
      </c>
      <c r="B237" s="2" t="s">
        <v>648</v>
      </c>
      <c r="C237" s="2">
        <v>48</v>
      </c>
      <c r="D237" s="2" t="s">
        <v>42</v>
      </c>
      <c r="E237" s="2" t="s">
        <v>649</v>
      </c>
      <c r="F237" s="2" t="s">
        <v>35</v>
      </c>
    </row>
    <row r="238" spans="1:6" x14ac:dyDescent="0.25">
      <c r="A238" s="2" t="s">
        <v>84</v>
      </c>
      <c r="B238" s="2" t="s">
        <v>386</v>
      </c>
      <c r="C238" s="2">
        <v>31</v>
      </c>
      <c r="D238" s="2" t="s">
        <v>18</v>
      </c>
      <c r="E238" s="2" t="s">
        <v>650</v>
      </c>
      <c r="F238" s="2" t="s">
        <v>20</v>
      </c>
    </row>
    <row r="239" spans="1:6" x14ac:dyDescent="0.25">
      <c r="A239" s="2" t="s">
        <v>651</v>
      </c>
      <c r="B239" s="2" t="s">
        <v>652</v>
      </c>
      <c r="C239" s="2">
        <v>64</v>
      </c>
      <c r="D239" s="2" t="s">
        <v>27</v>
      </c>
      <c r="E239" s="2" t="s">
        <v>653</v>
      </c>
      <c r="F239" s="2" t="s">
        <v>127</v>
      </c>
    </row>
    <row r="240" spans="1:6" x14ac:dyDescent="0.25">
      <c r="A240" s="2" t="s">
        <v>654</v>
      </c>
      <c r="B240" s="2" t="s">
        <v>655</v>
      </c>
      <c r="C240" s="2">
        <v>32</v>
      </c>
      <c r="D240" s="2" t="s">
        <v>18</v>
      </c>
      <c r="E240" s="2" t="s">
        <v>656</v>
      </c>
      <c r="F240" s="2" t="s">
        <v>127</v>
      </c>
    </row>
    <row r="241" spans="1:6" x14ac:dyDescent="0.25">
      <c r="A241" s="2" t="s">
        <v>11</v>
      </c>
      <c r="B241" s="2" t="s">
        <v>657</v>
      </c>
      <c r="C241" s="2">
        <v>42</v>
      </c>
      <c r="D241" s="2" t="s">
        <v>13</v>
      </c>
      <c r="E241" s="2" t="s">
        <v>658</v>
      </c>
      <c r="F241" s="2" t="s">
        <v>15</v>
      </c>
    </row>
    <row r="242" spans="1:6" x14ac:dyDescent="0.25">
      <c r="A242" s="2" t="s">
        <v>145</v>
      </c>
      <c r="B242" s="2" t="s">
        <v>659</v>
      </c>
      <c r="C242" s="2">
        <v>61</v>
      </c>
      <c r="D242" s="2" t="s">
        <v>18</v>
      </c>
      <c r="E242" s="2" t="s">
        <v>660</v>
      </c>
      <c r="F242" s="2" t="s">
        <v>10</v>
      </c>
    </row>
    <row r="243" spans="1:6" x14ac:dyDescent="0.25">
      <c r="A243" s="2" t="s">
        <v>661</v>
      </c>
      <c r="B243" s="2" t="s">
        <v>662</v>
      </c>
      <c r="C243" s="2">
        <v>21</v>
      </c>
      <c r="D243" s="2" t="s">
        <v>27</v>
      </c>
      <c r="E243" s="2" t="s">
        <v>663</v>
      </c>
      <c r="F243" s="2" t="s">
        <v>47</v>
      </c>
    </row>
    <row r="244" spans="1:6" x14ac:dyDescent="0.25">
      <c r="A244" s="2" t="s">
        <v>81</v>
      </c>
      <c r="B244" s="2" t="s">
        <v>664</v>
      </c>
      <c r="C244" s="2">
        <v>24</v>
      </c>
      <c r="D244" s="2" t="s">
        <v>42</v>
      </c>
      <c r="E244" s="2" t="s">
        <v>665</v>
      </c>
      <c r="F244" s="2" t="s">
        <v>24</v>
      </c>
    </row>
    <row r="245" spans="1:6" x14ac:dyDescent="0.25">
      <c r="A245" s="2" t="s">
        <v>63</v>
      </c>
      <c r="B245" s="2" t="s">
        <v>629</v>
      </c>
      <c r="C245" s="2">
        <v>47</v>
      </c>
      <c r="D245" s="2" t="s">
        <v>42</v>
      </c>
      <c r="E245" s="2" t="s">
        <v>666</v>
      </c>
      <c r="F245" s="2" t="s">
        <v>47</v>
      </c>
    </row>
    <row r="246" spans="1:6" x14ac:dyDescent="0.25">
      <c r="A246" s="2" t="s">
        <v>513</v>
      </c>
      <c r="B246" s="2" t="s">
        <v>667</v>
      </c>
      <c r="C246" s="2">
        <v>23</v>
      </c>
      <c r="D246" s="2" t="s">
        <v>18</v>
      </c>
      <c r="E246" s="2" t="s">
        <v>668</v>
      </c>
      <c r="F246" s="2" t="s">
        <v>15</v>
      </c>
    </row>
    <row r="247" spans="1:6" x14ac:dyDescent="0.25">
      <c r="A247" s="2" t="s">
        <v>669</v>
      </c>
      <c r="B247" s="2" t="s">
        <v>670</v>
      </c>
      <c r="C247" s="2">
        <v>35</v>
      </c>
      <c r="D247" s="2" t="s">
        <v>13</v>
      </c>
      <c r="E247" s="2" t="s">
        <v>671</v>
      </c>
      <c r="F247" s="2" t="s">
        <v>47</v>
      </c>
    </row>
    <row r="248" spans="1:6" x14ac:dyDescent="0.25">
      <c r="A248" s="2" t="s">
        <v>672</v>
      </c>
      <c r="B248" s="2" t="s">
        <v>673</v>
      </c>
      <c r="C248" s="2">
        <v>41</v>
      </c>
      <c r="D248" s="2" t="s">
        <v>27</v>
      </c>
      <c r="E248" s="2" t="s">
        <v>674</v>
      </c>
      <c r="F248" s="2" t="s">
        <v>39</v>
      </c>
    </row>
    <row r="249" spans="1:6" x14ac:dyDescent="0.25">
      <c r="A249" s="2" t="s">
        <v>250</v>
      </c>
      <c r="B249" s="2" t="s">
        <v>675</v>
      </c>
      <c r="C249" s="2">
        <v>44</v>
      </c>
      <c r="D249" s="2" t="s">
        <v>42</v>
      </c>
      <c r="E249" s="2" t="s">
        <v>676</v>
      </c>
      <c r="F249" s="2" t="s">
        <v>24</v>
      </c>
    </row>
    <row r="250" spans="1:6" x14ac:dyDescent="0.25">
      <c r="A250" s="2" t="s">
        <v>302</v>
      </c>
      <c r="B250" s="2" t="s">
        <v>340</v>
      </c>
      <c r="C250" s="2">
        <v>65</v>
      </c>
      <c r="D250" s="2" t="s">
        <v>8</v>
      </c>
      <c r="E250" s="2" t="s">
        <v>677</v>
      </c>
      <c r="F250" s="2" t="s">
        <v>110</v>
      </c>
    </row>
    <row r="251" spans="1:6" x14ac:dyDescent="0.25">
      <c r="A251" s="2" t="s">
        <v>151</v>
      </c>
      <c r="B251" s="2" t="s">
        <v>678</v>
      </c>
      <c r="C251" s="2">
        <v>22</v>
      </c>
      <c r="D251" s="2" t="s">
        <v>27</v>
      </c>
      <c r="E251" s="2" t="s">
        <v>679</v>
      </c>
      <c r="F251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1BE33-8454-49DC-97C7-84C3C5B0A72E}">
  <dimension ref="A1:R251"/>
  <sheetViews>
    <sheetView workbookViewId="0">
      <selection activeCell="C3" sqref="C3"/>
    </sheetView>
  </sheetViews>
  <sheetFormatPr defaultRowHeight="15" x14ac:dyDescent="0.25"/>
  <cols>
    <col min="1" max="1" width="18.5703125" customWidth="1"/>
    <col min="2" max="2" width="11.42578125" bestFit="1" customWidth="1"/>
    <col min="3" max="3" width="16.42578125" customWidth="1"/>
    <col min="4" max="4" width="14.140625" hidden="1" customWidth="1"/>
    <col min="5" max="5" width="38.7109375" customWidth="1"/>
    <col min="6" max="6" width="26.140625" hidden="1" customWidth="1"/>
    <col min="7" max="7" width="28.5703125" customWidth="1"/>
    <col min="8" max="8" width="21.42578125" hidden="1" customWidth="1"/>
    <col min="12" max="13" width="26.140625" bestFit="1" customWidth="1"/>
    <col min="14" max="14" width="18.28515625" bestFit="1" customWidth="1"/>
    <col min="15" max="15" width="25.7109375" bestFit="1" customWidth="1"/>
    <col min="16" max="16" width="18.85546875" bestFit="1" customWidth="1"/>
    <col min="17" max="17" width="7.28515625" bestFit="1" customWidth="1"/>
  </cols>
  <sheetData>
    <row r="1" spans="1:18" x14ac:dyDescent="0.25">
      <c r="A1" s="15" t="s">
        <v>0</v>
      </c>
      <c r="B1" s="15" t="s">
        <v>1</v>
      </c>
      <c r="C1" s="15" t="s">
        <v>2</v>
      </c>
      <c r="D1" s="15"/>
      <c r="E1" s="15" t="s">
        <v>3</v>
      </c>
      <c r="F1" s="16"/>
      <c r="G1" s="15" t="s">
        <v>680</v>
      </c>
    </row>
    <row r="2" spans="1:18" x14ac:dyDescent="0.25">
      <c r="A2" s="3" t="s">
        <v>247</v>
      </c>
      <c r="B2" s="3" t="s">
        <v>248</v>
      </c>
      <c r="C2" s="2" cm="1">
        <f t="array" ref="C2:D2">VLOOKUP(A2:B2,Dati!$A$2:$F$251,3,FALSE)</f>
        <v>24</v>
      </c>
      <c r="D2" s="2" t="e">
        <v>#N/A</v>
      </c>
      <c r="E2" s="2" t="str" cm="1">
        <f t="array" ref="E2:F2">VLOOKUP(A2:B2,Dati!$A$2:$F$251,4,FALSE)</f>
        <v>Laurea triennale</v>
      </c>
      <c r="F2" s="2" t="e">
        <v>#N/A</v>
      </c>
      <c r="G2" s="2" t="str" cm="1">
        <f t="array" ref="G2:H2">VLOOKUP(A2:B2,Dati!A82:F331,6,FALSE)</f>
        <v>Responsabile vendite</v>
      </c>
      <c r="H2" t="e">
        <v>#N/A</v>
      </c>
      <c r="L2" s="21"/>
      <c r="M2" s="22"/>
      <c r="N2" s="22"/>
      <c r="O2" s="31"/>
      <c r="P2" s="22"/>
      <c r="Q2" s="22"/>
    </row>
    <row r="3" spans="1:18" x14ac:dyDescent="0.25">
      <c r="A3" s="3" t="s">
        <v>429</v>
      </c>
      <c r="B3" s="3" t="s">
        <v>430</v>
      </c>
      <c r="C3" s="2" cm="1">
        <f t="array" ref="C3:D3">VLOOKUP(A3:B3,Dati!$A$2:$F$251,3,FALSE)</f>
        <v>22</v>
      </c>
      <c r="D3" s="2" t="e">
        <v>#N/A</v>
      </c>
      <c r="E3" s="2" t="str" cm="1">
        <f t="array" ref="E3:F3">VLOOKUP(A3:B3,Dati!$A$2:$F$251,4,FALSE)</f>
        <v>Dottorato di ricerca</v>
      </c>
      <c r="F3" s="2" t="e">
        <v>#N/A</v>
      </c>
      <c r="G3" s="2" t="str" cm="1">
        <f t="array" ref="G3:H3">VLOOKUP(A3:B3,Dati!A150:F399,6,FALSE)</f>
        <v>Tecnico informatico</v>
      </c>
      <c r="H3" t="e">
        <v>#N/A</v>
      </c>
      <c r="L3" s="21"/>
      <c r="M3" s="11"/>
      <c r="N3" s="11"/>
      <c r="O3" s="11"/>
      <c r="P3" s="11"/>
      <c r="Q3" s="11"/>
    </row>
    <row r="4" spans="1:18" x14ac:dyDescent="0.25">
      <c r="A4" s="3" t="s">
        <v>429</v>
      </c>
      <c r="B4" s="3" t="s">
        <v>524</v>
      </c>
      <c r="C4" s="2" cm="1">
        <f t="array" ref="C4:D4">VLOOKUP(A4:B4,Dati!$A$2:$F$251,3,FALSE)</f>
        <v>22</v>
      </c>
      <c r="D4" s="2" t="e">
        <v>#N/A</v>
      </c>
      <c r="E4" s="2" t="str" cm="1">
        <f t="array" ref="E4:F4">VLOOKUP(A4:B4,Dati!$A$2:$F$251,4,FALSE)</f>
        <v>Dottorato di ricerca</v>
      </c>
      <c r="F4" s="2" t="e">
        <v>#N/A</v>
      </c>
      <c r="G4" s="2" t="str" cm="1">
        <f t="array" ref="G4:H4">VLOOKUP(A4:B4,Dati!A188:F437,6,FALSE)</f>
        <v>Analista dati</v>
      </c>
      <c r="H4" t="e">
        <v>#N/A</v>
      </c>
    </row>
    <row r="5" spans="1:18" x14ac:dyDescent="0.25">
      <c r="A5" s="3" t="s">
        <v>499</v>
      </c>
      <c r="B5" s="3" t="s">
        <v>500</v>
      </c>
      <c r="C5" s="2" cm="1">
        <f t="array" ref="C5:D5">VLOOKUP(A5:B5,Dati!$A$2:$F$251,3,FALSE)</f>
        <v>64</v>
      </c>
      <c r="D5" s="2" t="e">
        <v>#N/A</v>
      </c>
      <c r="E5" s="2" t="str" cm="1">
        <f t="array" ref="E5:F5">VLOOKUP(A5:B5,Dati!$A$2:$F$251,4,FALSE)</f>
        <v>Diploma di scuola superiore</v>
      </c>
      <c r="F5" s="2" t="e">
        <v>#N/A</v>
      </c>
      <c r="G5" s="2" t="str" cm="1">
        <f t="array" ref="G5:H5">VLOOKUP(A5:B5,Dati!A178:F427,6,FALSE)</f>
        <v>Analista dati</v>
      </c>
      <c r="H5" t="e">
        <v>#N/A</v>
      </c>
    </row>
    <row r="6" spans="1:18" x14ac:dyDescent="0.25">
      <c r="A6" s="3" t="s">
        <v>561</v>
      </c>
      <c r="B6" s="3" t="s">
        <v>562</v>
      </c>
      <c r="C6" s="2" cm="1">
        <f t="array" ref="C6:D6">VLOOKUP(A6:B6,Dati!$A$2:$F$251,3,FALSE)</f>
        <v>32</v>
      </c>
      <c r="D6" s="2" t="e">
        <v>#N/A</v>
      </c>
      <c r="E6" s="2" t="str" cm="1">
        <f t="array" ref="E6:F6">VLOOKUP(A6:B6,Dati!$A$2:$F$251,4,FALSE)</f>
        <v>Master</v>
      </c>
      <c r="F6" s="2" t="e">
        <v>#N/A</v>
      </c>
      <c r="G6" s="2" t="str" cm="1">
        <f t="array" ref="G6:H6">VLOOKUP(A6:B6,Dati!A203:F452,6,FALSE)</f>
        <v>Analista dati</v>
      </c>
      <c r="H6" t="e">
        <v>#N/A</v>
      </c>
    </row>
    <row r="7" spans="1:18" x14ac:dyDescent="0.25">
      <c r="A7" s="3" t="s">
        <v>69</v>
      </c>
      <c r="B7" s="3" t="s">
        <v>70</v>
      </c>
      <c r="C7" s="2" cm="1">
        <f t="array" ref="C7:D7">VLOOKUP(A7:B7,Dati!$A$2:$F$251,3,FALSE)</f>
        <v>50</v>
      </c>
      <c r="D7" s="2" t="e">
        <v>#N/A</v>
      </c>
      <c r="E7" s="2" t="str" cm="1">
        <f t="array" ref="E7:F7">VLOOKUP(A7:B7,Dati!$A$2:$F$251,4,FALSE)</f>
        <v>Laurea magistrale</v>
      </c>
      <c r="F7" s="2" t="e">
        <v>#N/A</v>
      </c>
      <c r="G7" s="2" t="str" cm="1">
        <f t="array" ref="G7:H7">VLOOKUP(A7:B7,Dati!A19:F268,6,FALSE)</f>
        <v>Tecnico informatico</v>
      </c>
      <c r="H7" t="e">
        <v>#N/A</v>
      </c>
    </row>
    <row r="8" spans="1:18" x14ac:dyDescent="0.25">
      <c r="A8" s="3" t="s">
        <v>69</v>
      </c>
      <c r="B8" s="3" t="s">
        <v>508</v>
      </c>
      <c r="C8" s="2" cm="1">
        <f t="array" ref="C8:D8">VLOOKUP(A8:B8,Dati!$A$2:$F$251,3,FALSE)</f>
        <v>50</v>
      </c>
      <c r="D8" s="2" t="e">
        <v>#N/A</v>
      </c>
      <c r="E8" s="2" t="str" cm="1">
        <f t="array" ref="E8:F8">VLOOKUP(A8:B8,Dati!$A$2:$F$251,4,FALSE)</f>
        <v>Laurea magistrale</v>
      </c>
      <c r="F8" s="2" t="e">
        <v>#N/A</v>
      </c>
      <c r="G8" s="2" t="str" cm="1">
        <f t="array" ref="G8:H8">VLOOKUP(A8:B8,Dati!A182:F431,6,FALSE)</f>
        <v>Project Manager</v>
      </c>
      <c r="H8" t="e">
        <v>#N/A</v>
      </c>
      <c r="K8" s="12"/>
      <c r="L8" s="12"/>
      <c r="M8" s="12"/>
      <c r="N8" s="12"/>
      <c r="O8" s="12"/>
      <c r="P8" s="12"/>
      <c r="Q8" s="12"/>
      <c r="R8" s="12"/>
    </row>
    <row r="9" spans="1:18" x14ac:dyDescent="0.25">
      <c r="A9" s="3" t="s">
        <v>571</v>
      </c>
      <c r="B9" s="3" t="s">
        <v>506</v>
      </c>
      <c r="C9" s="2" cm="1">
        <f t="array" ref="C9:D9">VLOOKUP(A9:B9,Dati!$A$2:$F$251,3,FALSE)</f>
        <v>22</v>
      </c>
      <c r="D9" s="2" t="e">
        <v>#N/A</v>
      </c>
      <c r="E9" s="2" t="str" cm="1">
        <f t="array" ref="E9:F9">VLOOKUP(A9:B9,Dati!$A$2:$F$251,4,FALSE)</f>
        <v>Master</v>
      </c>
      <c r="F9" s="2" t="e">
        <v>#N/A</v>
      </c>
      <c r="G9" s="2" t="str" cm="1">
        <f t="array" ref="G9:H9">VLOOKUP(A9:B9,Dati!A207:F456,6,FALSE)</f>
        <v>Analista dati</v>
      </c>
      <c r="H9" t="e">
        <v>#N/A</v>
      </c>
      <c r="K9" s="12"/>
      <c r="L9" s="21"/>
      <c r="M9" s="23"/>
      <c r="N9" s="12"/>
      <c r="O9" s="12"/>
      <c r="P9" s="12"/>
      <c r="Q9" s="12"/>
      <c r="R9" s="12"/>
    </row>
    <row r="10" spans="1:18" x14ac:dyDescent="0.25">
      <c r="A10" s="3" t="s">
        <v>78</v>
      </c>
      <c r="B10" s="3" t="s">
        <v>79</v>
      </c>
      <c r="C10" s="2" cm="1">
        <f t="array" ref="C10:D10">VLOOKUP(A10:B10,Dati!$A$2:$F$251,3,FALSE)</f>
        <v>63</v>
      </c>
      <c r="D10" s="2" t="e">
        <v>#N/A</v>
      </c>
      <c r="E10" s="2" t="str" cm="1">
        <f t="array" ref="E10:F10">VLOOKUP(A10:B10,Dati!$A$2:$F$251,4,FALSE)</f>
        <v>Diploma di scuola superiore</v>
      </c>
      <c r="F10" s="2" t="e">
        <v>#N/A</v>
      </c>
      <c r="G10" s="2" t="str" cm="1">
        <f t="array" ref="G10:H10">VLOOKUP(A10:B10,Dati!A22:F271,6,FALSE)</f>
        <v>Analista dati</v>
      </c>
      <c r="H10" t="e">
        <v>#N/A</v>
      </c>
      <c r="K10" s="12"/>
      <c r="L10" s="24"/>
      <c r="M10" s="11"/>
      <c r="N10" s="12"/>
      <c r="O10" s="12"/>
      <c r="P10" s="12"/>
      <c r="Q10" s="12"/>
      <c r="R10" s="12"/>
    </row>
    <row r="11" spans="1:18" x14ac:dyDescent="0.25">
      <c r="A11" s="3" t="s">
        <v>78</v>
      </c>
      <c r="B11" s="3" t="s">
        <v>606</v>
      </c>
      <c r="C11" s="2" cm="1">
        <f t="array" ref="C11:D11">VLOOKUP(A11:B11,Dati!$A$2:$F$251,3,FALSE)</f>
        <v>63</v>
      </c>
      <c r="D11" s="2" t="e">
        <v>#N/A</v>
      </c>
      <c r="E11" s="2" t="str" cm="1">
        <f t="array" ref="E11:F11">VLOOKUP(A11:B11,Dati!$A$2:$F$251,4,FALSE)</f>
        <v>Diploma di scuola superiore</v>
      </c>
      <c r="F11" s="2" t="e">
        <v>#N/A</v>
      </c>
      <c r="G11" s="2" t="str" cm="1">
        <f t="array" ref="G11:H11">VLOOKUP(A11:B11,Dati!A220:F469,6,FALSE)</f>
        <v>Impiegato amministrativo</v>
      </c>
      <c r="H11" t="e">
        <v>#N/A</v>
      </c>
      <c r="K11" s="12"/>
      <c r="L11" s="24"/>
      <c r="M11" s="11"/>
      <c r="N11" s="12"/>
      <c r="O11" s="12"/>
      <c r="P11" s="12"/>
      <c r="Q11" s="12"/>
      <c r="R11" s="12"/>
    </row>
    <row r="12" spans="1:18" x14ac:dyDescent="0.25">
      <c r="A12" s="3" t="s">
        <v>78</v>
      </c>
      <c r="B12" s="3" t="s">
        <v>632</v>
      </c>
      <c r="C12" s="2" cm="1">
        <f t="array" ref="C12:D12">VLOOKUP(A12:B12,Dati!$A$2:$F$251,3,FALSE)</f>
        <v>63</v>
      </c>
      <c r="D12" s="2" t="e">
        <v>#N/A</v>
      </c>
      <c r="E12" s="2" t="str" cm="1">
        <f t="array" ref="E12:F12">VLOOKUP(A12:B12,Dati!$A$2:$F$251,4,FALSE)</f>
        <v>Diploma di scuola superiore</v>
      </c>
      <c r="F12" s="2" t="e">
        <v>#N/A</v>
      </c>
      <c r="G12" s="2" t="str" cm="1">
        <f t="array" ref="G12:H12">VLOOKUP(A12:B12,Dati!A231:F480,6,FALSE)</f>
        <v>Responsabile vendite</v>
      </c>
      <c r="H12" t="e">
        <v>#N/A</v>
      </c>
      <c r="K12" s="12"/>
      <c r="L12" s="24"/>
      <c r="M12" s="11"/>
      <c r="N12" s="12"/>
      <c r="O12" s="12"/>
      <c r="P12" s="12"/>
      <c r="Q12" s="12"/>
      <c r="R12" s="12"/>
    </row>
    <row r="13" spans="1:18" x14ac:dyDescent="0.25">
      <c r="A13" s="3" t="s">
        <v>259</v>
      </c>
      <c r="B13" s="3" t="s">
        <v>260</v>
      </c>
      <c r="C13" s="2" cm="1">
        <f t="array" ref="C13:D13">VLOOKUP(A13:B13,Dati!$A$2:$F$251,3,FALSE)</f>
        <v>48</v>
      </c>
      <c r="D13" s="2" t="e">
        <v>#N/A</v>
      </c>
      <c r="E13" s="2" t="str" cm="1">
        <f t="array" ref="E13:F13">VLOOKUP(A13:B13,Dati!$A$2:$F$251,4,FALSE)</f>
        <v>Laurea magistrale</v>
      </c>
      <c r="F13" s="2" t="e">
        <v>#N/A</v>
      </c>
      <c r="G13" s="2" t="str" cm="1">
        <f t="array" ref="G13:H13">VLOOKUP(A13:B13,Dati!A86:F335,6,FALSE)</f>
        <v>Direttore risorse umane</v>
      </c>
      <c r="H13" t="e">
        <v>#N/A</v>
      </c>
      <c r="K13" s="12"/>
      <c r="L13" s="24"/>
      <c r="M13" s="11"/>
      <c r="N13" s="12"/>
      <c r="O13" s="12"/>
      <c r="P13" s="12"/>
      <c r="Q13" s="12"/>
      <c r="R13" s="12"/>
    </row>
    <row r="14" spans="1:18" x14ac:dyDescent="0.25">
      <c r="A14" s="3" t="s">
        <v>328</v>
      </c>
      <c r="B14" s="3" t="s">
        <v>329</v>
      </c>
      <c r="C14" s="2" cm="1">
        <f t="array" ref="C14:D14">VLOOKUP(A14:B14,Dati!$A$2:$F$251,3,FALSE)</f>
        <v>27</v>
      </c>
      <c r="D14" s="2" t="e">
        <v>#N/A</v>
      </c>
      <c r="E14" s="2" t="str" cm="1">
        <f t="array" ref="E14:F14">VLOOKUP(A14:B14,Dati!$A$2:$F$251,4,FALSE)</f>
        <v>Dottorato di ricerca</v>
      </c>
      <c r="F14" s="2" t="e">
        <v>#N/A</v>
      </c>
      <c r="G14" s="2" t="str" cm="1">
        <f t="array" ref="G14:H14">VLOOKUP(A14:B14,Dati!A110:F359,6,FALSE)</f>
        <v>Project Manager</v>
      </c>
      <c r="H14" t="e">
        <v>#N/A</v>
      </c>
      <c r="K14" s="12"/>
      <c r="L14" s="24"/>
      <c r="M14" s="11"/>
      <c r="N14" s="12"/>
      <c r="O14" s="12"/>
      <c r="P14" s="12"/>
      <c r="Q14" s="12"/>
      <c r="R14" s="12"/>
    </row>
    <row r="15" spans="1:18" x14ac:dyDescent="0.25">
      <c r="A15" s="3" t="s">
        <v>661</v>
      </c>
      <c r="B15" s="3" t="s">
        <v>662</v>
      </c>
      <c r="C15" s="2" cm="1">
        <f t="array" ref="C15:D15">VLOOKUP(A15:B15,Dati!$A$2:$F$251,3,FALSE)</f>
        <v>21</v>
      </c>
      <c r="D15" s="2" t="e">
        <v>#N/A</v>
      </c>
      <c r="E15" s="2" t="str" cm="1">
        <f t="array" ref="E15:F15">VLOOKUP(A15:B15,Dati!$A$2:$F$251,4,FALSE)</f>
        <v>Diploma di scuola superiore</v>
      </c>
      <c r="F15" s="2" t="e">
        <v>#N/A</v>
      </c>
      <c r="G15" s="2" t="str" cm="1">
        <f t="array" ref="G15:H15">VLOOKUP(A15:B15,Dati!A243:F492,6,FALSE)</f>
        <v>Tecnico informatico</v>
      </c>
      <c r="H15" t="e">
        <v>#N/A</v>
      </c>
      <c r="K15" s="12"/>
      <c r="L15" s="24"/>
      <c r="M15" s="11"/>
      <c r="N15" s="12"/>
      <c r="O15" s="12"/>
      <c r="P15" s="12"/>
      <c r="Q15" s="12"/>
      <c r="R15" s="12"/>
    </row>
    <row r="16" spans="1:18" x14ac:dyDescent="0.25">
      <c r="A16" s="3" t="s">
        <v>568</v>
      </c>
      <c r="B16" s="3" t="s">
        <v>569</v>
      </c>
      <c r="C16" s="2" cm="1">
        <f t="array" ref="C16:D16">VLOOKUP(A16:B16,Dati!$A$2:$F$251,3,FALSE)</f>
        <v>65</v>
      </c>
      <c r="D16" s="2" t="e">
        <v>#N/A</v>
      </c>
      <c r="E16" s="2" t="str" cm="1">
        <f t="array" ref="E16:F16">VLOOKUP(A16:B16,Dati!$A$2:$F$251,4,FALSE)</f>
        <v>Laurea magistrale</v>
      </c>
      <c r="F16" s="2" t="e">
        <v>#N/A</v>
      </c>
      <c r="G16" s="2" t="str" cm="1">
        <f t="array" ref="G16:H16">VLOOKUP(A16:B16,Dati!A206:F455,6,FALSE)</f>
        <v>Responsabile vendite</v>
      </c>
      <c r="H16" t="e">
        <v>#N/A</v>
      </c>
      <c r="K16" s="12"/>
      <c r="L16" s="24"/>
      <c r="M16" s="11"/>
      <c r="N16" s="12"/>
      <c r="O16" s="12"/>
      <c r="P16" s="12"/>
      <c r="Q16" s="12"/>
      <c r="R16" s="12"/>
    </row>
    <row r="17" spans="1:18" x14ac:dyDescent="0.25">
      <c r="A17" s="3" t="s">
        <v>564</v>
      </c>
      <c r="B17" s="3" t="s">
        <v>565</v>
      </c>
      <c r="C17" s="2" cm="1">
        <f t="array" ref="C17:D17">VLOOKUP(A17:B17,Dati!$A$2:$F$251,3,FALSE)</f>
        <v>20</v>
      </c>
      <c r="D17" s="2" t="e">
        <v>#N/A</v>
      </c>
      <c r="E17" s="2" t="str" cm="1">
        <f t="array" ref="E17:F17">VLOOKUP(A17:B17,Dati!$A$2:$F$251,4,FALSE)</f>
        <v>Laurea triennale</v>
      </c>
      <c r="F17" s="2" t="e">
        <v>#N/A</v>
      </c>
      <c r="G17" s="2" t="str" cm="1">
        <f t="array" ref="G17:H17">VLOOKUP(A17:B17,Dati!A204:F453,6,FALSE)</f>
        <v>Project Manager</v>
      </c>
      <c r="H17" t="e">
        <v>#N/A</v>
      </c>
      <c r="K17" s="12"/>
      <c r="L17" s="24"/>
      <c r="M17" s="11"/>
      <c r="N17" s="12"/>
      <c r="O17" s="12"/>
      <c r="P17" s="12"/>
      <c r="Q17" s="12"/>
      <c r="R17" s="12"/>
    </row>
    <row r="18" spans="1:18" x14ac:dyDescent="0.25">
      <c r="A18" s="3" t="s">
        <v>92</v>
      </c>
      <c r="B18" s="3" t="s">
        <v>93</v>
      </c>
      <c r="C18" s="2" cm="1">
        <f t="array" ref="C18:D18">VLOOKUP(A18:B18,Dati!$A$2:$F$251,3,FALSE)</f>
        <v>40</v>
      </c>
      <c r="D18" s="2" t="e">
        <v>#N/A</v>
      </c>
      <c r="E18" s="2" t="str" cm="1">
        <f t="array" ref="E18:F18">VLOOKUP(A18:B18,Dati!$A$2:$F$251,4,FALSE)</f>
        <v>Diploma di scuola superiore</v>
      </c>
      <c r="F18" s="2" t="e">
        <v>#N/A</v>
      </c>
      <c r="G18" s="2" t="str" cm="1">
        <f t="array" ref="G18:H18">VLOOKUP(A18:B18,Dati!A27:F276,6,FALSE)</f>
        <v>Tecnico informatico</v>
      </c>
      <c r="H18" t="e">
        <v>#N/A</v>
      </c>
      <c r="K18" s="12"/>
      <c r="L18" s="24"/>
      <c r="M18" s="11"/>
      <c r="N18" s="12"/>
      <c r="O18" s="12"/>
      <c r="P18" s="12"/>
      <c r="Q18" s="12"/>
      <c r="R18" s="12"/>
    </row>
    <row r="19" spans="1:18" x14ac:dyDescent="0.25">
      <c r="A19" s="3" t="s">
        <v>92</v>
      </c>
      <c r="B19" s="3" t="s">
        <v>235</v>
      </c>
      <c r="C19" s="2" cm="1">
        <f t="array" ref="C19:D19">VLOOKUP(A19:B19,Dati!$A$2:$F$251,3,FALSE)</f>
        <v>40</v>
      </c>
      <c r="D19" s="2" t="e">
        <v>#N/A</v>
      </c>
      <c r="E19" s="2" t="str" cm="1">
        <f t="array" ref="E19:F19">VLOOKUP(A19:B19,Dati!$A$2:$F$251,4,FALSE)</f>
        <v>Diploma di scuola superiore</v>
      </c>
      <c r="F19" s="2" t="e">
        <v>#N/A</v>
      </c>
      <c r="G19" s="2" t="str" cm="1">
        <f t="array" ref="G19:H19">VLOOKUP(A19:B19,Dati!A77:F326,6,FALSE)</f>
        <v>Tecnico informatico</v>
      </c>
      <c r="H19" t="e">
        <v>#N/A</v>
      </c>
      <c r="K19" s="12"/>
      <c r="L19" s="24"/>
      <c r="M19" s="11"/>
      <c r="N19" s="12"/>
      <c r="O19" s="12"/>
      <c r="P19" s="12"/>
      <c r="Q19" s="12"/>
      <c r="R19" s="12"/>
    </row>
    <row r="20" spans="1:18" x14ac:dyDescent="0.25">
      <c r="A20" s="3" t="s">
        <v>48</v>
      </c>
      <c r="B20" s="3" t="s">
        <v>49</v>
      </c>
      <c r="C20" s="2" cm="1">
        <f t="array" ref="C20:D20">VLOOKUP(A20:B20,Dati!$A$2:$F$251,3,FALSE)</f>
        <v>46</v>
      </c>
      <c r="D20" s="2" t="e">
        <v>#N/A</v>
      </c>
      <c r="E20" s="2" t="str" cm="1">
        <f t="array" ref="E20:F20">VLOOKUP(A20:B20,Dati!$A$2:$F$251,4,FALSE)</f>
        <v>Laurea magistrale</v>
      </c>
      <c r="F20" s="2" t="e">
        <v>#N/A</v>
      </c>
      <c r="G20" s="2" t="str" cm="1">
        <f t="array" ref="G20:H20">VLOOKUP(A20:B20,Dati!A12:F261,6,FALSE)</f>
        <v>Tecnico informatico</v>
      </c>
      <c r="H20" t="e">
        <v>#N/A</v>
      </c>
      <c r="K20" s="12"/>
      <c r="L20" s="12"/>
      <c r="M20" s="12"/>
      <c r="N20" s="12"/>
      <c r="O20" s="12"/>
      <c r="P20" s="12"/>
      <c r="Q20" s="12"/>
      <c r="R20" s="12"/>
    </row>
    <row r="21" spans="1:18" x14ac:dyDescent="0.25">
      <c r="A21" s="3" t="s">
        <v>160</v>
      </c>
      <c r="B21" s="3" t="s">
        <v>161</v>
      </c>
      <c r="C21" s="2" cm="1">
        <f t="array" ref="C21:D21">VLOOKUP(A21:B21,Dati!$A$2:$F$251,3,FALSE)</f>
        <v>64</v>
      </c>
      <c r="D21" s="2" t="e">
        <v>#N/A</v>
      </c>
      <c r="E21" s="2" t="str" cm="1">
        <f t="array" ref="E21:F21">VLOOKUP(A21:B21,Dati!$A$2:$F$251,4,FALSE)</f>
        <v>Laurea magistrale</v>
      </c>
      <c r="F21" s="2" t="e">
        <v>#N/A</v>
      </c>
      <c r="G21" s="2" t="str" cm="1">
        <f t="array" ref="G21:H21">VLOOKUP(A21:B21,Dati!A50:F299,6,FALSE)</f>
        <v>Impiegato amministrativo</v>
      </c>
      <c r="H21" t="e">
        <v>#N/A</v>
      </c>
      <c r="K21" s="12"/>
      <c r="N21" s="12"/>
      <c r="O21" s="12"/>
      <c r="P21" s="12"/>
      <c r="Q21" s="12"/>
      <c r="R21" s="12"/>
    </row>
    <row r="22" spans="1:18" x14ac:dyDescent="0.25">
      <c r="A22" s="3" t="s">
        <v>57</v>
      </c>
      <c r="B22" s="3" t="s">
        <v>58</v>
      </c>
      <c r="C22" s="2" cm="1">
        <f t="array" ref="C22:D22">VLOOKUP(A22:B22,Dati!$A$2:$F$251,3,FALSE)</f>
        <v>36</v>
      </c>
      <c r="D22" s="2" t="e">
        <v>#N/A</v>
      </c>
      <c r="E22" s="2" t="str" cm="1">
        <f t="array" ref="E22:F22">VLOOKUP(A22:B22,Dati!$A$2:$F$251,4,FALSE)</f>
        <v>Laurea triennale</v>
      </c>
      <c r="F22" s="2" t="e">
        <v>#N/A</v>
      </c>
      <c r="G22" s="2" t="str" cm="1">
        <f t="array" ref="G22:H22">VLOOKUP(A22:B22,Dati!A15:F264,6,FALSE)</f>
        <v>Responsabile vendite</v>
      </c>
      <c r="H22" t="e">
        <v>#N/A</v>
      </c>
      <c r="K22" s="12"/>
      <c r="L22" s="21"/>
      <c r="M22" s="21"/>
      <c r="N22" s="13"/>
      <c r="O22" s="21"/>
      <c r="P22" s="21"/>
      <c r="Q22" s="12"/>
      <c r="R22" s="12"/>
    </row>
    <row r="23" spans="1:18" x14ac:dyDescent="0.25">
      <c r="A23" s="3" t="s">
        <v>282</v>
      </c>
      <c r="B23" s="3" t="s">
        <v>283</v>
      </c>
      <c r="C23" s="2" cm="1">
        <f t="array" ref="C23:D23">VLOOKUP(A23:B23,Dati!$A$2:$F$251,3,FALSE)</f>
        <v>56</v>
      </c>
      <c r="D23" s="2" t="e">
        <v>#N/A</v>
      </c>
      <c r="E23" s="2" t="str" cm="1">
        <f t="array" ref="E23:F23">VLOOKUP(A23:B23,Dati!$A$2:$F$251,4,FALSE)</f>
        <v>Diploma di scuola superiore</v>
      </c>
      <c r="F23" s="2" t="e">
        <v>#N/A</v>
      </c>
      <c r="G23" s="2" t="str" cm="1">
        <f t="array" ref="G23:H23">VLOOKUP(A23:B23,Dati!A94:F343,6,FALSE)</f>
        <v>Responsabile vendite</v>
      </c>
      <c r="H23" t="e">
        <v>#N/A</v>
      </c>
      <c r="K23" s="12"/>
      <c r="L23" s="26"/>
      <c r="M23" s="27"/>
      <c r="N23" s="13"/>
      <c r="O23" s="26"/>
      <c r="P23" s="27"/>
      <c r="Q23" s="12"/>
      <c r="R23" s="12"/>
    </row>
    <row r="24" spans="1:18" x14ac:dyDescent="0.25">
      <c r="A24" s="3" t="s">
        <v>217</v>
      </c>
      <c r="B24" s="3" t="s">
        <v>182</v>
      </c>
      <c r="C24" s="2" cm="1">
        <f t="array" ref="C24:D24">VLOOKUP(A24:B24,Dati!$A$2:$F$251,3,FALSE)</f>
        <v>32</v>
      </c>
      <c r="D24" s="2" t="e">
        <v>#N/A</v>
      </c>
      <c r="E24" s="2" t="str" cm="1">
        <f t="array" ref="E24:F24">VLOOKUP(A24:B24,Dati!$A$2:$F$251,4,FALSE)</f>
        <v>Dottorato di ricerca</v>
      </c>
      <c r="F24" s="2" t="e">
        <v>#N/A</v>
      </c>
      <c r="G24" s="2" t="str" cm="1">
        <f t="array" ref="G24:H24">VLOOKUP(A24:B24,Dati!A70:F319,6,FALSE)</f>
        <v>Responsabile vendite</v>
      </c>
      <c r="H24" t="e">
        <v>#N/A</v>
      </c>
      <c r="K24" s="12"/>
      <c r="L24" s="25"/>
      <c r="M24" s="28"/>
      <c r="N24" s="13"/>
      <c r="O24" s="25"/>
      <c r="P24" s="28"/>
      <c r="Q24" s="12"/>
      <c r="R24" s="12"/>
    </row>
    <row r="25" spans="1:18" x14ac:dyDescent="0.25">
      <c r="A25" s="3" t="s">
        <v>314</v>
      </c>
      <c r="B25" s="3" t="s">
        <v>315</v>
      </c>
      <c r="C25" s="2" cm="1">
        <f t="array" ref="C25:D25">VLOOKUP(A25:B25,Dati!$A$2:$F$251,3,FALSE)</f>
        <v>24</v>
      </c>
      <c r="D25" s="2" t="e">
        <v>#N/A</v>
      </c>
      <c r="E25" s="2" t="str" cm="1">
        <f t="array" ref="E25:F25">VLOOKUP(A25:B25,Dati!$A$2:$F$251,4,FALSE)</f>
        <v>Diploma di scuola superiore</v>
      </c>
      <c r="F25" s="2" t="e">
        <v>#N/A</v>
      </c>
      <c r="G25" s="2" t="str" cm="1">
        <f t="array" ref="G25:H25">VLOOKUP(A25:B25,Dati!A105:F354,6,FALSE)</f>
        <v>Marketing Specialist</v>
      </c>
      <c r="H25" t="e">
        <v>#N/A</v>
      </c>
      <c r="K25" s="12"/>
      <c r="L25" s="25"/>
      <c r="M25" s="28"/>
      <c r="N25" s="13"/>
      <c r="O25" s="25"/>
      <c r="P25" s="28"/>
      <c r="Q25" s="12"/>
      <c r="R25" s="12"/>
    </row>
    <row r="26" spans="1:18" x14ac:dyDescent="0.25">
      <c r="A26" s="3" t="s">
        <v>373</v>
      </c>
      <c r="B26" s="3" t="s">
        <v>228</v>
      </c>
      <c r="C26" s="2" cm="1">
        <f t="array" ref="C26:D26">VLOOKUP(A26:B26,Dati!$A$2:$F$251,3,FALSE)</f>
        <v>51</v>
      </c>
      <c r="D26" s="2" t="e">
        <v>#N/A</v>
      </c>
      <c r="E26" s="2" t="str" cm="1">
        <f t="array" ref="E26:F26">VLOOKUP(A26:B26,Dati!$A$2:$F$251,4,FALSE)</f>
        <v>Laurea triennale</v>
      </c>
      <c r="F26" s="2" t="e">
        <v>#N/A</v>
      </c>
      <c r="G26" s="2" t="str" cm="1">
        <f t="array" ref="G26:H26">VLOOKUP(A26:B26,Dati!A126:F375,6,FALSE)</f>
        <v>Operaio specializzato</v>
      </c>
      <c r="H26" t="e">
        <v>#N/A</v>
      </c>
      <c r="L26" s="25"/>
      <c r="M26" s="28"/>
      <c r="N26" s="10"/>
      <c r="O26" s="25"/>
      <c r="P26" s="28"/>
    </row>
    <row r="27" spans="1:18" x14ac:dyDescent="0.25">
      <c r="A27" s="3" t="s">
        <v>29</v>
      </c>
      <c r="B27" s="3" t="s">
        <v>30</v>
      </c>
      <c r="C27" s="2" cm="1">
        <f t="array" ref="C27:D27">VLOOKUP(A27:B27,Dati!$A$2:$F$251,3,FALSE)</f>
        <v>21</v>
      </c>
      <c r="D27" s="2" t="e">
        <v>#N/A</v>
      </c>
      <c r="E27" s="2" t="str" cm="1">
        <f t="array" ref="E27:F27">VLOOKUP(A27:B27,Dati!$A$2:$F$251,4,FALSE)</f>
        <v>Laurea triennale</v>
      </c>
      <c r="F27" s="2" t="e">
        <v>#N/A</v>
      </c>
      <c r="G27" s="2" t="str" cm="1">
        <f t="array" ref="G27:H27">VLOOKUP(A27:B27,Dati!A7:F256,6,FALSE)</f>
        <v>Responsabile vendite</v>
      </c>
      <c r="H27" t="e">
        <v>#N/A</v>
      </c>
      <c r="L27" s="25"/>
      <c r="M27" s="28"/>
      <c r="N27" s="10"/>
      <c r="O27" s="25"/>
      <c r="P27" s="28"/>
    </row>
    <row r="28" spans="1:18" x14ac:dyDescent="0.25">
      <c r="A28" s="3" t="s">
        <v>16</v>
      </c>
      <c r="B28" s="3" t="s">
        <v>17</v>
      </c>
      <c r="C28" s="2" cm="1">
        <f t="array" ref="C28:D28">VLOOKUP(A28:B28,Dati!$A$2:$F$251,3,FALSE)</f>
        <v>52</v>
      </c>
      <c r="D28" s="2" t="e">
        <v>#N/A</v>
      </c>
      <c r="E28" s="2" t="str" cm="1">
        <f t="array" ref="E28:F28">VLOOKUP(A28:B28,Dati!$A$2:$F$251,4,FALSE)</f>
        <v>Master</v>
      </c>
      <c r="F28" s="2" t="e">
        <v>#N/A</v>
      </c>
      <c r="G28" s="2" t="str" cm="1">
        <f t="array" ref="G28:H28">VLOOKUP(A28:B28,Dati!A4:F253,6,FALSE)</f>
        <v>Operaio specializzato</v>
      </c>
      <c r="H28" t="e">
        <v>#N/A</v>
      </c>
      <c r="L28" s="25"/>
      <c r="M28" s="28"/>
      <c r="N28" s="10"/>
      <c r="O28" s="25"/>
      <c r="P28" s="28"/>
    </row>
    <row r="29" spans="1:18" x14ac:dyDescent="0.25">
      <c r="A29" s="3" t="s">
        <v>16</v>
      </c>
      <c r="B29" s="3" t="s">
        <v>225</v>
      </c>
      <c r="C29" s="2" cm="1">
        <f t="array" ref="C29:D29">VLOOKUP(A29:B29,Dati!$A$2:$F$251,3,FALSE)</f>
        <v>52</v>
      </c>
      <c r="D29" s="2" t="e">
        <v>#N/A</v>
      </c>
      <c r="E29" s="2" t="str" cm="1">
        <f t="array" ref="E29:F29">VLOOKUP(A29:B29,Dati!$A$2:$F$251,4,FALSE)</f>
        <v>Master</v>
      </c>
      <c r="F29" s="2" t="e">
        <v>#N/A</v>
      </c>
      <c r="G29" s="2" t="str" cm="1">
        <f t="array" ref="G29:H29">VLOOKUP(A29:B29,Dati!A73:F322,6,FALSE)</f>
        <v>Marketing Specialist</v>
      </c>
      <c r="H29" t="e">
        <v>#N/A</v>
      </c>
      <c r="L29" s="25"/>
      <c r="M29" s="28"/>
      <c r="N29" s="10"/>
      <c r="O29" s="25"/>
      <c r="P29" s="28"/>
    </row>
    <row r="30" spans="1:18" x14ac:dyDescent="0.25">
      <c r="A30" s="3" t="s">
        <v>16</v>
      </c>
      <c r="B30" s="3" t="s">
        <v>466</v>
      </c>
      <c r="C30" s="2" cm="1">
        <f t="array" ref="C30:D30">VLOOKUP(A30:B30,Dati!$A$2:$F$251,3,FALSE)</f>
        <v>52</v>
      </c>
      <c r="D30" s="2" t="e">
        <v>#N/A</v>
      </c>
      <c r="E30" s="2" t="str" cm="1">
        <f t="array" ref="E30:F30">VLOOKUP(A30:B30,Dati!$A$2:$F$251,4,FALSE)</f>
        <v>Master</v>
      </c>
      <c r="F30" s="2" t="e">
        <v>#N/A</v>
      </c>
      <c r="G30" s="2" t="str" cm="1">
        <f t="array" ref="G30:H30">VLOOKUP(A30:B30,Dati!A165:F414,6,FALSE)</f>
        <v>Tecnico informatico</v>
      </c>
      <c r="H30" t="e">
        <v>#N/A</v>
      </c>
      <c r="L30" s="25"/>
      <c r="M30" s="28"/>
      <c r="N30" s="10"/>
      <c r="O30" s="25"/>
      <c r="P30" s="28"/>
    </row>
    <row r="31" spans="1:18" x14ac:dyDescent="0.25">
      <c r="A31" s="3" t="s">
        <v>370</v>
      </c>
      <c r="B31" s="3" t="s">
        <v>371</v>
      </c>
      <c r="C31" s="2" cm="1">
        <f t="array" ref="C31:D31">VLOOKUP(A31:B31,Dati!$A$2:$F$251,3,FALSE)</f>
        <v>49</v>
      </c>
      <c r="D31" s="2" t="e">
        <v>#N/A</v>
      </c>
      <c r="E31" s="2" t="str" cm="1">
        <f t="array" ref="E31:F31">VLOOKUP(A31:B31,Dati!$A$2:$F$251,4,FALSE)</f>
        <v>Laurea triennale</v>
      </c>
      <c r="F31" s="2" t="e">
        <v>#N/A</v>
      </c>
      <c r="G31" s="2" t="str" cm="1">
        <f t="array" ref="G31:H31">VLOOKUP(A31:B31,Dati!A125:F374,6,FALSE)</f>
        <v>Tecnico informatico</v>
      </c>
      <c r="H31" t="e">
        <v>#N/A</v>
      </c>
      <c r="L31" s="25"/>
      <c r="M31" s="28"/>
      <c r="N31" s="10"/>
      <c r="O31" s="25"/>
      <c r="P31" s="28"/>
    </row>
    <row r="32" spans="1:18" x14ac:dyDescent="0.25">
      <c r="A32" s="3" t="s">
        <v>305</v>
      </c>
      <c r="B32" s="3" t="s">
        <v>306</v>
      </c>
      <c r="C32" s="2" cm="1">
        <f t="array" ref="C32:D32">VLOOKUP(A32:B32,Dati!$A$2:$F$251,3,FALSE)</f>
        <v>56</v>
      </c>
      <c r="D32" s="2" t="e">
        <v>#N/A</v>
      </c>
      <c r="E32" s="2" t="str" cm="1">
        <f t="array" ref="E32:F32">VLOOKUP(A32:B32,Dati!$A$2:$F$251,4,FALSE)</f>
        <v>Master</v>
      </c>
      <c r="F32" s="2" t="e">
        <v>#N/A</v>
      </c>
      <c r="G32" s="2" t="str" cm="1">
        <f t="array" ref="G32:H32">VLOOKUP(A32:B32,Dati!A102:F351,6,FALSE)</f>
        <v>Operaio specializzato</v>
      </c>
      <c r="H32" t="e">
        <v>#N/A</v>
      </c>
      <c r="L32" s="25"/>
      <c r="M32" s="28"/>
      <c r="N32" s="10"/>
      <c r="O32" s="25"/>
      <c r="P32" s="28"/>
    </row>
    <row r="33" spans="1:16" x14ac:dyDescent="0.25">
      <c r="A33" s="3" t="s">
        <v>463</v>
      </c>
      <c r="B33" s="3" t="s">
        <v>464</v>
      </c>
      <c r="C33" s="2" cm="1">
        <f t="array" ref="C33:D33">VLOOKUP(A33:B33,Dati!$A$2:$F$251,3,FALSE)</f>
        <v>49</v>
      </c>
      <c r="D33" s="2" t="e">
        <v>#N/A</v>
      </c>
      <c r="E33" s="2" t="str" cm="1">
        <f t="array" ref="E33:F33">VLOOKUP(A33:B33,Dati!$A$2:$F$251,4,FALSE)</f>
        <v>Master</v>
      </c>
      <c r="F33" s="2" t="e">
        <v>#N/A</v>
      </c>
      <c r="G33" s="2" t="str" cm="1">
        <f t="array" ref="G33:H33">VLOOKUP(A33:B33,Dati!A164:F413,6,FALSE)</f>
        <v>Marketing Specialist</v>
      </c>
      <c r="H33" t="e">
        <v>#N/A</v>
      </c>
      <c r="L33" s="25"/>
      <c r="M33" s="28"/>
      <c r="N33" s="10"/>
      <c r="O33" s="25"/>
      <c r="P33" s="28"/>
    </row>
    <row r="34" spans="1:16" x14ac:dyDescent="0.25">
      <c r="A34" s="3" t="s">
        <v>364</v>
      </c>
      <c r="B34" s="3" t="s">
        <v>365</v>
      </c>
      <c r="C34" s="2" cm="1">
        <f t="array" ref="C34:D34">VLOOKUP(A34:B34,Dati!$A$2:$F$251,3,FALSE)</f>
        <v>59</v>
      </c>
      <c r="D34" s="2" t="e">
        <v>#N/A</v>
      </c>
      <c r="E34" s="2" t="str" cm="1">
        <f t="array" ref="E34:F34">VLOOKUP(A34:B34,Dati!$A$2:$F$251,4,FALSE)</f>
        <v>Laurea triennale</v>
      </c>
      <c r="F34" s="2" t="e">
        <v>#N/A</v>
      </c>
      <c r="G34" s="2" t="str" cm="1">
        <f t="array" ref="G34:H34">VLOOKUP(A34:B34,Dati!A123:F372,6,FALSE)</f>
        <v>Direttore risorse umane</v>
      </c>
      <c r="H34" t="e">
        <v>#N/A</v>
      </c>
      <c r="L34" s="25"/>
      <c r="M34" s="10"/>
      <c r="N34" s="10"/>
      <c r="O34" s="25"/>
      <c r="P34" s="10"/>
    </row>
    <row r="35" spans="1:16" x14ac:dyDescent="0.25">
      <c r="A35" s="3" t="s">
        <v>364</v>
      </c>
      <c r="B35" s="3" t="s">
        <v>483</v>
      </c>
      <c r="C35" s="2" cm="1">
        <f t="array" ref="C35:D35">VLOOKUP(A35:B35,Dati!$A$2:$F$251,3,FALSE)</f>
        <v>59</v>
      </c>
      <c r="D35" s="2" t="e">
        <v>#N/A</v>
      </c>
      <c r="E35" s="2" t="str" cm="1">
        <f t="array" ref="E35:F35">VLOOKUP(A35:B35,Dati!$A$2:$F$251,4,FALSE)</f>
        <v>Laurea triennale</v>
      </c>
      <c r="F35" s="2" t="e">
        <v>#N/A</v>
      </c>
      <c r="G35" s="2" t="str" cm="1">
        <f t="array" ref="G35:H35">VLOOKUP(A35:B35,Dati!A172:F421,6,FALSE)</f>
        <v>Responsabile vendite</v>
      </c>
      <c r="H35" t="e">
        <v>#N/A</v>
      </c>
      <c r="L35" s="10"/>
      <c r="M35" s="10"/>
      <c r="N35" s="10"/>
      <c r="O35" s="10"/>
      <c r="P35" s="10"/>
    </row>
    <row r="36" spans="1:16" x14ac:dyDescent="0.25">
      <c r="A36" s="3" t="s">
        <v>647</v>
      </c>
      <c r="B36" s="3" t="s">
        <v>648</v>
      </c>
      <c r="C36" s="2" cm="1">
        <f t="array" ref="C36:D36">VLOOKUP(A36:B36,Dati!$A$2:$F$251,3,FALSE)</f>
        <v>48</v>
      </c>
      <c r="D36" s="2" t="e">
        <v>#N/A</v>
      </c>
      <c r="E36" s="2" t="str" cm="1">
        <f t="array" ref="E36:F36">VLOOKUP(A36:B36,Dati!$A$2:$F$251,4,FALSE)</f>
        <v>Dottorato di ricerca</v>
      </c>
      <c r="F36" s="2" t="e">
        <v>#N/A</v>
      </c>
      <c r="G36" s="2" t="str" cm="1">
        <f t="array" ref="G36:H36">VLOOKUP(A36:B36,Dati!A237:F486,6,FALSE)</f>
        <v>Direttore risorse umane</v>
      </c>
      <c r="H36" t="e">
        <v>#N/A</v>
      </c>
      <c r="L36" s="21"/>
      <c r="M36" s="21"/>
      <c r="N36" s="10"/>
      <c r="O36" s="21"/>
      <c r="P36" s="21"/>
    </row>
    <row r="37" spans="1:16" x14ac:dyDescent="0.25">
      <c r="A37" s="3" t="s">
        <v>155</v>
      </c>
      <c r="B37" s="3" t="s">
        <v>156</v>
      </c>
      <c r="C37" s="2" cm="1">
        <f t="array" ref="C37:D37">VLOOKUP(A37:B37,Dati!$A$2:$F$251,3,FALSE)</f>
        <v>49</v>
      </c>
      <c r="D37" s="2" t="e">
        <v>#N/A</v>
      </c>
      <c r="E37" s="2" t="str" cm="1">
        <f t="array" ref="E37:F37">VLOOKUP(A37:B37,Dati!$A$2:$F$251,4,FALSE)</f>
        <v>Laurea triennale</v>
      </c>
      <c r="F37" s="2" t="e">
        <v>#N/A</v>
      </c>
      <c r="G37" s="2" t="str" cm="1">
        <f t="array" ref="G37:H37">VLOOKUP(A37:B37,Dati!A48:F297,6,FALSE)</f>
        <v>Tecnico informatico</v>
      </c>
      <c r="H37" t="e">
        <v>#N/A</v>
      </c>
      <c r="L37" s="26"/>
      <c r="M37" s="27"/>
      <c r="N37" s="10"/>
      <c r="O37" s="26"/>
      <c r="P37" s="27"/>
    </row>
    <row r="38" spans="1:16" x14ac:dyDescent="0.25">
      <c r="A38" s="3" t="s">
        <v>193</v>
      </c>
      <c r="B38" s="3" t="s">
        <v>194</v>
      </c>
      <c r="C38" s="2" cm="1">
        <f t="array" ref="C38:D38">VLOOKUP(A38:B38,Dati!$A$2:$F$251,3,FALSE)</f>
        <v>20</v>
      </c>
      <c r="D38" s="2" t="e">
        <v>#N/A</v>
      </c>
      <c r="E38" s="2" t="str" cm="1">
        <f t="array" ref="E38:F38">VLOOKUP(A38:B38,Dati!$A$2:$F$251,4,FALSE)</f>
        <v>Diploma di scuola superiore</v>
      </c>
      <c r="F38" s="2" t="e">
        <v>#N/A</v>
      </c>
      <c r="G38" s="2" t="str" cm="1">
        <f t="array" ref="G38:H38">VLOOKUP(A38:B38,Dati!A62:F311,6,FALSE)</f>
        <v>Contabile</v>
      </c>
      <c r="H38" t="e">
        <v>#N/A</v>
      </c>
      <c r="L38" s="25"/>
      <c r="M38" s="28"/>
      <c r="N38" s="10"/>
      <c r="O38" s="25"/>
      <c r="P38" s="28"/>
    </row>
    <row r="39" spans="1:16" x14ac:dyDescent="0.25">
      <c r="A39" s="3" t="s">
        <v>333</v>
      </c>
      <c r="B39" s="3" t="s">
        <v>334</v>
      </c>
      <c r="C39" s="2" cm="1">
        <f t="array" ref="C39:D39">VLOOKUP(A39:B39,Dati!$A$2:$F$251,3,FALSE)</f>
        <v>61</v>
      </c>
      <c r="D39" s="2" t="e">
        <v>#N/A</v>
      </c>
      <c r="E39" s="2" t="str" cm="1">
        <f t="array" ref="E39:F39">VLOOKUP(A39:B39,Dati!$A$2:$F$251,4,FALSE)</f>
        <v>Diploma di scuola superiore</v>
      </c>
      <c r="F39" s="2" t="e">
        <v>#N/A</v>
      </c>
      <c r="G39" s="2" t="str" cm="1">
        <f t="array" ref="G39:H39">VLOOKUP(A39:B39,Dati!A112:F361,6,FALSE)</f>
        <v>Marketing Specialist</v>
      </c>
      <c r="H39" t="e">
        <v>#N/A</v>
      </c>
      <c r="L39" s="25"/>
      <c r="M39" s="28"/>
      <c r="N39" s="10"/>
      <c r="O39" s="25"/>
      <c r="P39" s="28"/>
    </row>
    <row r="40" spans="1:16" x14ac:dyDescent="0.25">
      <c r="A40" s="3" t="s">
        <v>222</v>
      </c>
      <c r="B40" s="3" t="s">
        <v>223</v>
      </c>
      <c r="C40" s="2" cm="1">
        <f t="array" ref="C40:D40">VLOOKUP(A40:B40,Dati!$A$2:$F$251,3,FALSE)</f>
        <v>49</v>
      </c>
      <c r="D40" s="2" t="e">
        <v>#N/A</v>
      </c>
      <c r="E40" s="2" t="str" cm="1">
        <f t="array" ref="E40:F40">VLOOKUP(A40:B40,Dati!$A$2:$F$251,4,FALSE)</f>
        <v>Laurea magistrale</v>
      </c>
      <c r="F40" s="2" t="e">
        <v>#N/A</v>
      </c>
      <c r="G40" s="2" t="str" cm="1">
        <f t="array" ref="G40:H40">VLOOKUP(A40:B40,Dati!A72:F321,6,FALSE)</f>
        <v>Direttore risorse umane</v>
      </c>
      <c r="H40" t="e">
        <v>#N/A</v>
      </c>
      <c r="L40" s="25"/>
      <c r="M40" s="28"/>
      <c r="N40" s="10"/>
      <c r="O40" s="25"/>
      <c r="P40" s="28"/>
    </row>
    <row r="41" spans="1:16" x14ac:dyDescent="0.25">
      <c r="A41" s="3" t="s">
        <v>474</v>
      </c>
      <c r="B41" s="3" t="s">
        <v>475</v>
      </c>
      <c r="C41" s="2" cm="1">
        <f t="array" ref="C41:D41">VLOOKUP(A41:B41,Dati!$A$2:$F$251,3,FALSE)</f>
        <v>58</v>
      </c>
      <c r="D41" s="2" t="e">
        <v>#N/A</v>
      </c>
      <c r="E41" s="2" t="str" cm="1">
        <f t="array" ref="E41:F41">VLOOKUP(A41:B41,Dati!$A$2:$F$251,4,FALSE)</f>
        <v>Laurea triennale</v>
      </c>
      <c r="F41" s="2" t="e">
        <v>#N/A</v>
      </c>
      <c r="G41" s="2" t="str" cm="1">
        <f t="array" ref="G41:H41">VLOOKUP(A41:B41,Dati!A169:F418,6,FALSE)</f>
        <v>Responsabile vendite</v>
      </c>
      <c r="H41" t="e">
        <v>#N/A</v>
      </c>
      <c r="L41" s="25"/>
      <c r="M41" s="28"/>
      <c r="N41" s="10"/>
      <c r="O41" s="25"/>
      <c r="P41" s="28"/>
    </row>
    <row r="42" spans="1:16" x14ac:dyDescent="0.25">
      <c r="A42" s="3" t="s">
        <v>391</v>
      </c>
      <c r="B42" s="3" t="s">
        <v>392</v>
      </c>
      <c r="C42" s="2" cm="1">
        <f t="array" ref="C42:D42">VLOOKUP(A42:B42,Dati!$A$2:$F$251,3,FALSE)</f>
        <v>25</v>
      </c>
      <c r="D42" s="2" t="e">
        <v>#N/A</v>
      </c>
      <c r="E42" s="2" t="str" cm="1">
        <f t="array" ref="E42:F42">VLOOKUP(A42:B42,Dati!$A$2:$F$251,4,FALSE)</f>
        <v>Diploma di scuola superiore</v>
      </c>
      <c r="F42" s="2" t="e">
        <v>#N/A</v>
      </c>
      <c r="G42" s="2" t="str" cm="1">
        <f t="array" ref="G42:H42">VLOOKUP(A42:B42,Dati!A134:F383,6,FALSE)</f>
        <v>Responsabile vendite</v>
      </c>
      <c r="H42" t="e">
        <v>#N/A</v>
      </c>
      <c r="L42" s="25"/>
      <c r="M42" s="28"/>
      <c r="N42" s="10"/>
      <c r="O42" s="25"/>
      <c r="P42" s="28"/>
    </row>
    <row r="43" spans="1:16" x14ac:dyDescent="0.25">
      <c r="A43" s="3" t="s">
        <v>615</v>
      </c>
      <c r="B43" s="3" t="s">
        <v>616</v>
      </c>
      <c r="C43" s="2" cm="1">
        <f t="array" ref="C43:D43">VLOOKUP(A43:B43,Dati!$A$2:$F$251,3,FALSE)</f>
        <v>31</v>
      </c>
      <c r="D43" s="2" t="e">
        <v>#N/A</v>
      </c>
      <c r="E43" s="2" t="str" cm="1">
        <f t="array" ref="E43:F43">VLOOKUP(A43:B43,Dati!$A$2:$F$251,4,FALSE)</f>
        <v>Master</v>
      </c>
      <c r="F43" s="2" t="e">
        <v>#N/A</v>
      </c>
      <c r="G43" s="2" t="str" cm="1">
        <f t="array" ref="G43:H43">VLOOKUP(A43:B43,Dati!A224:F473,6,FALSE)</f>
        <v>Addetto logistica</v>
      </c>
      <c r="H43" t="e">
        <v>#N/A</v>
      </c>
      <c r="L43" s="25"/>
      <c r="M43" s="28"/>
      <c r="N43" s="10"/>
      <c r="O43" s="25"/>
      <c r="P43" s="28"/>
    </row>
    <row r="44" spans="1:16" x14ac:dyDescent="0.25">
      <c r="A44" s="3" t="s">
        <v>628</v>
      </c>
      <c r="B44" s="3" t="s">
        <v>629</v>
      </c>
      <c r="C44" s="2" cm="1">
        <f t="array" ref="C44:D44">VLOOKUP(A44:B44,Dati!$A$2:$F$251,3,FALSE)</f>
        <v>62</v>
      </c>
      <c r="D44" s="2" t="e">
        <v>#N/A</v>
      </c>
      <c r="E44" s="2" t="str" cm="1">
        <f t="array" ref="E44:F44">VLOOKUP(A44:B44,Dati!$A$2:$F$251,4,FALSE)</f>
        <v>Diploma di scuola superiore</v>
      </c>
      <c r="F44" s="2" t="e">
        <v>#N/A</v>
      </c>
      <c r="G44" s="2" t="str" cm="1">
        <f t="array" ref="G44:H44">VLOOKUP(A44:B44,Dati!A229:F478,6,FALSE)</f>
        <v>Impiegato amministrativo</v>
      </c>
      <c r="H44" t="e">
        <v>#N/A</v>
      </c>
      <c r="L44" s="25"/>
      <c r="M44" s="28"/>
      <c r="N44" s="10"/>
      <c r="O44" s="25"/>
      <c r="P44" s="28"/>
    </row>
    <row r="45" spans="1:16" x14ac:dyDescent="0.25">
      <c r="A45" s="3" t="s">
        <v>265</v>
      </c>
      <c r="B45" s="3" t="s">
        <v>266</v>
      </c>
      <c r="C45" s="2" cm="1">
        <f t="array" ref="C45:D45">VLOOKUP(A45:B45,Dati!$A$2:$F$251,3,FALSE)</f>
        <v>38</v>
      </c>
      <c r="D45" s="2" t="e">
        <v>#N/A</v>
      </c>
      <c r="E45" s="2" t="str" cm="1">
        <f t="array" ref="E45:F45">VLOOKUP(A45:B45,Dati!$A$2:$F$251,4,FALSE)</f>
        <v>Master</v>
      </c>
      <c r="F45" s="2" t="e">
        <v>#N/A</v>
      </c>
      <c r="G45" s="2" t="str" cm="1">
        <f t="array" ref="G45:H45">VLOOKUP(A45:B45,Dati!A88:F337,6,FALSE)</f>
        <v>Addetto logistica</v>
      </c>
      <c r="H45" t="e">
        <v>#N/A</v>
      </c>
      <c r="L45" s="25"/>
      <c r="M45" s="28"/>
      <c r="N45" s="10"/>
      <c r="O45" s="25"/>
      <c r="P45" s="28"/>
    </row>
    <row r="46" spans="1:16" x14ac:dyDescent="0.25">
      <c r="A46" s="3" t="s">
        <v>241</v>
      </c>
      <c r="B46" s="3" t="s">
        <v>242</v>
      </c>
      <c r="C46" s="2" cm="1">
        <f t="array" ref="C46:D46">VLOOKUP(A46:B46,Dati!$A$2:$F$251,3,FALSE)</f>
        <v>54</v>
      </c>
      <c r="D46" s="2" t="e">
        <v>#N/A</v>
      </c>
      <c r="E46" s="2" t="str" cm="1">
        <f t="array" ref="E46:F46">VLOOKUP(A46:B46,Dati!$A$2:$F$251,4,FALSE)</f>
        <v>Master</v>
      </c>
      <c r="F46" s="2" t="e">
        <v>#N/A</v>
      </c>
      <c r="G46" s="2" t="str" cm="1">
        <f t="array" ref="G46:H46">VLOOKUP(A46:B46,Dati!A80:F329,6,FALSE)</f>
        <v>Responsabile vendite</v>
      </c>
      <c r="H46" t="e">
        <v>#N/A</v>
      </c>
      <c r="L46" s="25"/>
      <c r="M46" s="28"/>
      <c r="N46" s="10"/>
      <c r="O46" s="25"/>
      <c r="P46" s="28"/>
    </row>
    <row r="47" spans="1:16" x14ac:dyDescent="0.25">
      <c r="A47" s="3" t="s">
        <v>21</v>
      </c>
      <c r="B47" s="3" t="s">
        <v>22</v>
      </c>
      <c r="C47" s="2" cm="1">
        <f t="array" ref="C47:D47">VLOOKUP(A47:B47,Dati!$A$2:$F$251,3,FALSE)</f>
        <v>56</v>
      </c>
      <c r="D47" s="2" t="e">
        <v>#N/A</v>
      </c>
      <c r="E47" s="2" t="str" cm="1">
        <f t="array" ref="E47:F47">VLOOKUP(A47:B47,Dati!$A$2:$F$251,4,FALSE)</f>
        <v>Laurea magistrale</v>
      </c>
      <c r="F47" s="2" t="e">
        <v>#N/A</v>
      </c>
      <c r="G47" s="2" t="str" cm="1">
        <f t="array" ref="G47:H47">VLOOKUP(A47:B47,Dati!A5:F254,6,FALSE)</f>
        <v>Analista dati</v>
      </c>
      <c r="H47" t="e">
        <v>#N/A</v>
      </c>
      <c r="L47" s="25"/>
      <c r="M47" s="28"/>
      <c r="N47" s="10"/>
      <c r="O47" s="25"/>
      <c r="P47" s="28"/>
    </row>
    <row r="48" spans="1:16" x14ac:dyDescent="0.25">
      <c r="A48" s="3" t="s">
        <v>40</v>
      </c>
      <c r="B48" s="3" t="s">
        <v>41</v>
      </c>
      <c r="C48" s="2" cm="1">
        <f t="array" ref="C48:D48">VLOOKUP(A48:B48,Dati!$A$2:$F$251,3,FALSE)</f>
        <v>51</v>
      </c>
      <c r="D48" s="2" t="e">
        <v>#N/A</v>
      </c>
      <c r="E48" s="2" t="str" cm="1">
        <f t="array" ref="E48:F48">VLOOKUP(A48:B48,Dati!$A$2:$F$251,4,FALSE)</f>
        <v>Dottorato di ricerca</v>
      </c>
      <c r="F48" s="2" t="e">
        <v>#N/A</v>
      </c>
      <c r="G48" s="2" t="str" cm="1">
        <f t="array" ref="G48:H48">VLOOKUP(A48:B48,Dati!A10:F259,6,FALSE)</f>
        <v>Analista dati</v>
      </c>
      <c r="H48" t="e">
        <v>#N/A</v>
      </c>
      <c r="L48" s="25"/>
      <c r="M48" s="10"/>
      <c r="N48" s="10"/>
      <c r="O48" s="25"/>
      <c r="P48" s="10"/>
    </row>
    <row r="49" spans="1:16" x14ac:dyDescent="0.25">
      <c r="A49" s="3" t="s">
        <v>361</v>
      </c>
      <c r="B49" s="3" t="s">
        <v>362</v>
      </c>
      <c r="C49" s="2" cm="1">
        <f t="array" ref="C49:D49">VLOOKUP(A49:B49,Dati!$A$2:$F$251,3,FALSE)</f>
        <v>32</v>
      </c>
      <c r="D49" s="2" t="e">
        <v>#N/A</v>
      </c>
      <c r="E49" s="2" t="str" cm="1">
        <f t="array" ref="E49:F49">VLOOKUP(A49:B49,Dati!$A$2:$F$251,4,FALSE)</f>
        <v>Master</v>
      </c>
      <c r="F49" s="2" t="e">
        <v>#N/A</v>
      </c>
      <c r="G49" s="2" t="str" cm="1">
        <f t="array" ref="G49:H49">VLOOKUP(A49:B49,Dati!A122:F371,6,FALSE)</f>
        <v>Operaio specializzato</v>
      </c>
      <c r="H49" t="e">
        <v>#N/A</v>
      </c>
      <c r="L49" s="10"/>
      <c r="M49" s="10"/>
      <c r="N49" s="10"/>
      <c r="O49" s="10"/>
      <c r="P49" s="10"/>
    </row>
    <row r="50" spans="1:16" x14ac:dyDescent="0.25">
      <c r="A50" s="3" t="s">
        <v>253</v>
      </c>
      <c r="B50" s="3" t="s">
        <v>254</v>
      </c>
      <c r="C50" s="2" cm="1">
        <f t="array" ref="C50:D50">VLOOKUP(A50:B50,Dati!$A$2:$F$251,3,FALSE)</f>
        <v>38</v>
      </c>
      <c r="D50" s="2" t="e">
        <v>#N/A</v>
      </c>
      <c r="E50" s="2" t="str" cm="1">
        <f t="array" ref="E50:F50">VLOOKUP(A50:B50,Dati!$A$2:$F$251,4,FALSE)</f>
        <v>Diploma di scuola superiore</v>
      </c>
      <c r="F50" s="2" t="e">
        <v>#N/A</v>
      </c>
      <c r="G50" s="2" t="str" cm="1">
        <f t="array" ref="G50:H50">VLOOKUP(A50:B50,Dati!A84:F333,6,FALSE)</f>
        <v>Addetto logistica</v>
      </c>
      <c r="H50" t="e">
        <v>#N/A</v>
      </c>
      <c r="L50" s="21"/>
      <c r="M50" s="21"/>
      <c r="N50" s="10"/>
      <c r="O50" s="10"/>
      <c r="P50" s="10"/>
    </row>
    <row r="51" spans="1:16" x14ac:dyDescent="0.25">
      <c r="A51" s="3" t="s">
        <v>137</v>
      </c>
      <c r="B51" s="3" t="s">
        <v>138</v>
      </c>
      <c r="C51" s="2" cm="1">
        <f t="array" ref="C51:D51">VLOOKUP(A51:B51,Dati!$A$2:$F$251,3,FALSE)</f>
        <v>35</v>
      </c>
      <c r="D51" s="2" t="e">
        <v>#N/A</v>
      </c>
      <c r="E51" s="2" t="str" cm="1">
        <f t="array" ref="E51:F51">VLOOKUP(A51:B51,Dati!$A$2:$F$251,4,FALSE)</f>
        <v>Dottorato di ricerca</v>
      </c>
      <c r="F51" s="2" t="e">
        <v>#N/A</v>
      </c>
      <c r="G51" s="2" t="str" cm="1">
        <f t="array" ref="G51:H51">VLOOKUP(A51:B51,Dati!A41:F290,6,FALSE)</f>
        <v>Analista dati</v>
      </c>
      <c r="H51" t="e">
        <v>#N/A</v>
      </c>
      <c r="L51" s="26"/>
      <c r="M51" s="27"/>
      <c r="N51" s="10"/>
      <c r="O51" s="10"/>
      <c r="P51" s="10"/>
    </row>
    <row r="52" spans="1:16" x14ac:dyDescent="0.25">
      <c r="A52" s="3" t="s">
        <v>493</v>
      </c>
      <c r="B52" s="3" t="s">
        <v>494</v>
      </c>
      <c r="C52" s="2" cm="1">
        <f t="array" ref="C52:D52">VLOOKUP(A52:B52,Dati!$A$2:$F$251,3,FALSE)</f>
        <v>39</v>
      </c>
      <c r="D52" s="2" t="e">
        <v>#N/A</v>
      </c>
      <c r="E52" s="2" t="str" cm="1">
        <f t="array" ref="E52:F52">VLOOKUP(A52:B52,Dati!$A$2:$F$251,4,FALSE)</f>
        <v>Laurea magistrale</v>
      </c>
      <c r="F52" s="2" t="e">
        <v>#N/A</v>
      </c>
      <c r="G52" s="2" t="str" cm="1">
        <f t="array" ref="G52:H52">VLOOKUP(A52:B52,Dati!A176:F425,6,FALSE)</f>
        <v>Direttore risorse umane</v>
      </c>
      <c r="H52" t="e">
        <v>#N/A</v>
      </c>
      <c r="L52" s="25"/>
      <c r="M52" s="28"/>
      <c r="N52" s="10"/>
      <c r="O52" s="10"/>
      <c r="P52" s="10"/>
    </row>
    <row r="53" spans="1:16" x14ac:dyDescent="0.25">
      <c r="A53" s="3" t="s">
        <v>311</v>
      </c>
      <c r="B53" s="3" t="s">
        <v>312</v>
      </c>
      <c r="C53" s="2" cm="1">
        <f t="array" ref="C53:D53">VLOOKUP(A53:B53,Dati!$A$2:$F$251,3,FALSE)</f>
        <v>41</v>
      </c>
      <c r="D53" s="2" t="e">
        <v>#N/A</v>
      </c>
      <c r="E53" s="2" t="str" cm="1">
        <f t="array" ref="E53:F53">VLOOKUP(A53:B53,Dati!$A$2:$F$251,4,FALSE)</f>
        <v>Master</v>
      </c>
      <c r="F53" s="2" t="e">
        <v>#N/A</v>
      </c>
      <c r="G53" s="2" t="str" cm="1">
        <f t="array" ref="G53:H53">VLOOKUP(A53:B53,Dati!A104:F353,6,FALSE)</f>
        <v>Addetto logistica</v>
      </c>
      <c r="H53" t="e">
        <v>#N/A</v>
      </c>
      <c r="L53" s="25"/>
      <c r="M53" s="28"/>
      <c r="N53" s="10"/>
      <c r="O53" s="10"/>
      <c r="P53" s="10"/>
    </row>
    <row r="54" spans="1:16" x14ac:dyDescent="0.25">
      <c r="A54" s="3" t="s">
        <v>383</v>
      </c>
      <c r="B54" s="3" t="s">
        <v>7</v>
      </c>
      <c r="C54" s="2" cm="1">
        <f t="array" ref="C54:D54">VLOOKUP(A54:B54,Dati!$A$2:$F$251,3,FALSE)</f>
        <v>59</v>
      </c>
      <c r="D54" s="2" t="e">
        <v>#N/A</v>
      </c>
      <c r="E54" s="2" t="str" cm="1">
        <f t="array" ref="E54:F54">VLOOKUP(A54:B54,Dati!$A$2:$F$251,4,FALSE)</f>
        <v>Diploma di scuola superiore</v>
      </c>
      <c r="F54" s="2" t="e">
        <v>#N/A</v>
      </c>
      <c r="G54" s="2" t="str" cm="1">
        <f t="array" ref="G54:H54">VLOOKUP(A54:B54,Dati!A131:F380,6,FALSE)</f>
        <v>Marketing Specialist</v>
      </c>
      <c r="H54" t="e">
        <v>#N/A</v>
      </c>
      <c r="L54" s="25"/>
      <c r="M54" s="28"/>
      <c r="N54" s="10"/>
      <c r="O54" s="10"/>
      <c r="P54" s="10"/>
    </row>
    <row r="55" spans="1:16" x14ac:dyDescent="0.25">
      <c r="A55" s="3" t="s">
        <v>151</v>
      </c>
      <c r="B55" s="3" t="s">
        <v>79</v>
      </c>
      <c r="C55" s="2" cm="1">
        <f t="array" ref="C55:D55">VLOOKUP(A55:B55,Dati!$A$2:$F$251,3,FALSE)</f>
        <v>32</v>
      </c>
      <c r="D55" s="2" t="e">
        <v>#N/A</v>
      </c>
      <c r="E55" s="2" t="str" cm="1">
        <f t="array" ref="E55:F55">VLOOKUP(A55:B55,Dati!$A$2:$F$251,4,FALSE)</f>
        <v>Dottorato di ricerca</v>
      </c>
      <c r="F55" s="2" t="e">
        <v>#N/A</v>
      </c>
      <c r="G55" s="2" t="str" cm="1">
        <f t="array" ref="G55:H55">VLOOKUP(A55:B55,Dati!A46:F295,6,FALSE)</f>
        <v>Addetto logistica</v>
      </c>
      <c r="H55" t="e">
        <v>#N/A</v>
      </c>
      <c r="L55" s="25"/>
      <c r="M55" s="28"/>
      <c r="N55" s="10"/>
      <c r="O55" s="10"/>
      <c r="P55" s="10"/>
    </row>
    <row r="56" spans="1:16" x14ac:dyDescent="0.25">
      <c r="A56" s="3" t="s">
        <v>151</v>
      </c>
      <c r="B56" s="3" t="s">
        <v>180</v>
      </c>
      <c r="C56" s="2" cm="1">
        <f t="array" ref="C56:D56">VLOOKUP(A56:B56,Dati!$A$2:$F$251,3,FALSE)</f>
        <v>32</v>
      </c>
      <c r="D56" s="2" t="e">
        <v>#N/A</v>
      </c>
      <c r="E56" s="2" t="str" cm="1">
        <f t="array" ref="E56:F56">VLOOKUP(A56:B56,Dati!$A$2:$F$251,4,FALSE)</f>
        <v>Dottorato di ricerca</v>
      </c>
      <c r="F56" s="2" t="e">
        <v>#N/A</v>
      </c>
      <c r="G56" s="2" t="str" cm="1">
        <f t="array" ref="G56:H56">VLOOKUP(A56:B56,Dati!A57:F306,6,FALSE)</f>
        <v>Project Manager</v>
      </c>
      <c r="H56" t="e">
        <v>#N/A</v>
      </c>
      <c r="L56" s="25"/>
      <c r="M56" s="28"/>
      <c r="N56" s="10"/>
      <c r="O56" s="10"/>
      <c r="P56" s="10"/>
    </row>
    <row r="57" spans="1:16" x14ac:dyDescent="0.25">
      <c r="A57" s="3" t="s">
        <v>151</v>
      </c>
      <c r="B57" s="3" t="s">
        <v>375</v>
      </c>
      <c r="C57" s="2" cm="1">
        <f t="array" ref="C57:D57">VLOOKUP(A57:B57,Dati!$A$2:$F$251,3,FALSE)</f>
        <v>32</v>
      </c>
      <c r="D57" s="2" t="e">
        <v>#N/A</v>
      </c>
      <c r="E57" s="2" t="str" cm="1">
        <f t="array" ref="E57:F57">VLOOKUP(A57:B57,Dati!$A$2:$F$251,4,FALSE)</f>
        <v>Dottorato di ricerca</v>
      </c>
      <c r="F57" s="2" t="e">
        <v>#N/A</v>
      </c>
      <c r="G57" s="2" t="str" cm="1">
        <f t="array" ref="G57:H57">VLOOKUP(A57:B57,Dati!A127:F376,6,FALSE)</f>
        <v>Addetto logistica</v>
      </c>
      <c r="H57" t="e">
        <v>#N/A</v>
      </c>
      <c r="L57" s="25"/>
      <c r="M57" s="28"/>
      <c r="N57" s="10"/>
      <c r="O57" s="10"/>
      <c r="P57" s="10"/>
    </row>
    <row r="58" spans="1:16" x14ac:dyDescent="0.25">
      <c r="A58" s="3" t="s">
        <v>151</v>
      </c>
      <c r="B58" s="3" t="s">
        <v>427</v>
      </c>
      <c r="C58" s="2" cm="1">
        <f t="array" ref="C58:D58">VLOOKUP(A58:B58,Dati!$A$2:$F$251,3,FALSE)</f>
        <v>32</v>
      </c>
      <c r="D58" s="2" t="e">
        <v>#N/A</v>
      </c>
      <c r="E58" s="2" t="str" cm="1">
        <f t="array" ref="E58:F58">VLOOKUP(A58:B58,Dati!$A$2:$F$251,4,FALSE)</f>
        <v>Dottorato di ricerca</v>
      </c>
      <c r="F58" s="2" t="e">
        <v>#N/A</v>
      </c>
      <c r="G58" s="2" t="str" cm="1">
        <f t="array" ref="G58:H58">VLOOKUP(A58:B58,Dati!A149:F398,6,FALSE)</f>
        <v>Analista dati</v>
      </c>
      <c r="H58" t="e">
        <v>#N/A</v>
      </c>
      <c r="L58" s="25"/>
      <c r="M58" s="28"/>
      <c r="N58" s="10"/>
      <c r="O58" s="10"/>
      <c r="P58" s="10"/>
    </row>
    <row r="59" spans="1:16" x14ac:dyDescent="0.25">
      <c r="A59" s="3" t="s">
        <v>151</v>
      </c>
      <c r="B59" s="3" t="s">
        <v>678</v>
      </c>
      <c r="C59" s="2" cm="1">
        <f t="array" ref="C59:D59">VLOOKUP(A59:B59,Dati!$A$2:$F$251,3,FALSE)</f>
        <v>32</v>
      </c>
      <c r="D59" s="2" t="e">
        <v>#N/A</v>
      </c>
      <c r="E59" s="2" t="str" cm="1">
        <f t="array" ref="E59:F59">VLOOKUP(A59:B59,Dati!$A$2:$F$251,4,FALSE)</f>
        <v>Dottorato di ricerca</v>
      </c>
      <c r="F59" s="2" t="e">
        <v>#N/A</v>
      </c>
      <c r="G59" s="2" t="str" cm="1">
        <f t="array" ref="G59:H59">VLOOKUP(A59:B59,Dati!A251:F500,6,FALSE)</f>
        <v>Impiegato amministrativo</v>
      </c>
      <c r="H59" t="e">
        <v>#N/A</v>
      </c>
      <c r="L59" s="25"/>
      <c r="M59" s="28"/>
      <c r="N59" s="10"/>
      <c r="O59" s="10"/>
      <c r="P59" s="10"/>
    </row>
    <row r="60" spans="1:16" x14ac:dyDescent="0.25">
      <c r="A60" s="3" t="s">
        <v>174</v>
      </c>
      <c r="B60" s="3" t="s">
        <v>175</v>
      </c>
      <c r="C60" s="2" cm="1">
        <f t="array" ref="C60:D60">VLOOKUP(A60:B60,Dati!$A$2:$F$251,3,FALSE)</f>
        <v>46</v>
      </c>
      <c r="D60" s="2" t="e">
        <v>#N/A</v>
      </c>
      <c r="E60" s="2" t="str" cm="1">
        <f t="array" ref="E60:F60">VLOOKUP(A60:B60,Dati!$A$2:$F$251,4,FALSE)</f>
        <v>Dottorato di ricerca</v>
      </c>
      <c r="F60" s="2" t="e">
        <v>#N/A</v>
      </c>
      <c r="G60" s="2" t="str" cm="1">
        <f t="array" ref="G60:H60">VLOOKUP(A60:B60,Dati!A55:F304,6,FALSE)</f>
        <v>Responsabile vendite</v>
      </c>
      <c r="H60" t="e">
        <v>#N/A</v>
      </c>
      <c r="L60" s="25"/>
      <c r="M60" s="28"/>
      <c r="N60" s="10"/>
      <c r="O60" s="10"/>
      <c r="P60" s="10"/>
    </row>
    <row r="61" spans="1:16" x14ac:dyDescent="0.25">
      <c r="A61" s="3" t="s">
        <v>174</v>
      </c>
      <c r="B61" s="3" t="s">
        <v>182</v>
      </c>
      <c r="C61" s="2" cm="1">
        <f t="array" ref="C61:D61">VLOOKUP(A61:B61,Dati!$A$2:$F$251,3,FALSE)</f>
        <v>46</v>
      </c>
      <c r="D61" s="2" t="e">
        <v>#N/A</v>
      </c>
      <c r="E61" s="2" t="str" cm="1">
        <f t="array" ref="E61:F61">VLOOKUP(A61:B61,Dati!$A$2:$F$251,4,FALSE)</f>
        <v>Dottorato di ricerca</v>
      </c>
      <c r="F61" s="2" t="e">
        <v>#N/A</v>
      </c>
      <c r="G61" s="2" t="str" cm="1">
        <f t="array" ref="G61:H61">VLOOKUP(A61:B61,Dati!A58:F307,6,FALSE)</f>
        <v>Responsabile vendite</v>
      </c>
      <c r="H61" t="e">
        <v>#N/A</v>
      </c>
      <c r="L61" s="25"/>
      <c r="M61" s="28"/>
      <c r="N61" s="10"/>
      <c r="O61" s="10"/>
      <c r="P61" s="10"/>
    </row>
    <row r="62" spans="1:16" x14ac:dyDescent="0.25">
      <c r="A62" s="3" t="s">
        <v>480</v>
      </c>
      <c r="B62" s="3" t="s">
        <v>481</v>
      </c>
      <c r="C62" s="2" cm="1">
        <f t="array" ref="C62:D62">VLOOKUP(A62:B62,Dati!$A$2:$F$251,3,FALSE)</f>
        <v>62</v>
      </c>
      <c r="D62" s="2" t="e">
        <v>#N/A</v>
      </c>
      <c r="E62" s="2" t="str" cm="1">
        <f t="array" ref="E62:F62">VLOOKUP(A62:B62,Dati!$A$2:$F$251,4,FALSE)</f>
        <v>Diploma di scuola superiore</v>
      </c>
      <c r="F62" s="2" t="e">
        <v>#N/A</v>
      </c>
      <c r="G62" s="2" t="str" cm="1">
        <f t="array" ref="G62:H62">VLOOKUP(A62:B62,Dati!A171:F420,6,FALSE)</f>
        <v>Project Manager</v>
      </c>
      <c r="H62" t="e">
        <v>#N/A</v>
      </c>
      <c r="L62" s="25"/>
      <c r="M62" s="10"/>
      <c r="N62" s="10"/>
      <c r="O62" s="10"/>
      <c r="P62" s="10"/>
    </row>
    <row r="63" spans="1:16" x14ac:dyDescent="0.25">
      <c r="A63" s="3" t="s">
        <v>342</v>
      </c>
      <c r="B63" s="3" t="s">
        <v>343</v>
      </c>
      <c r="C63" s="2" cm="1">
        <f t="array" ref="C63:D63">VLOOKUP(A63:B63,Dati!$A$2:$F$251,3,FALSE)</f>
        <v>57</v>
      </c>
      <c r="D63" s="2" t="e">
        <v>#N/A</v>
      </c>
      <c r="E63" s="2" t="str" cm="1">
        <f t="array" ref="E63:F63">VLOOKUP(A63:B63,Dati!$A$2:$F$251,4,FALSE)</f>
        <v>Dottorato di ricerca</v>
      </c>
      <c r="F63" s="2" t="e">
        <v>#N/A</v>
      </c>
      <c r="G63" s="2" t="str" cm="1">
        <f t="array" ref="G63:H63">VLOOKUP(A63:B63,Dati!A115:F364,6,FALSE)</f>
        <v>Direttore risorse umane</v>
      </c>
      <c r="H63" t="e">
        <v>#N/A</v>
      </c>
    </row>
    <row r="64" spans="1:16" x14ac:dyDescent="0.25">
      <c r="A64" s="3" t="s">
        <v>603</v>
      </c>
      <c r="B64" s="3" t="s">
        <v>604</v>
      </c>
      <c r="C64" s="2" cm="1">
        <f t="array" ref="C64:D64">VLOOKUP(A64:B64,Dati!$A$2:$F$251,3,FALSE)</f>
        <v>47</v>
      </c>
      <c r="D64" s="2" t="e">
        <v>#N/A</v>
      </c>
      <c r="E64" s="2" t="str" cm="1">
        <f t="array" ref="E64:F64">VLOOKUP(A64:B64,Dati!$A$2:$F$251,4,FALSE)</f>
        <v>Master</v>
      </c>
      <c r="F64" s="2" t="e">
        <v>#N/A</v>
      </c>
      <c r="G64" s="2" t="str" cm="1">
        <f t="array" ref="G64:H64">VLOOKUP(A64:B64,Dati!A219:F468,6,FALSE)</f>
        <v>Tecnico informatico</v>
      </c>
      <c r="H64" t="e">
        <v>#N/A</v>
      </c>
    </row>
    <row r="65" spans="1:8" x14ac:dyDescent="0.25">
      <c r="A65" s="3" t="s">
        <v>575</v>
      </c>
      <c r="B65" s="3" t="s">
        <v>576</v>
      </c>
      <c r="C65" s="2" cm="1">
        <f t="array" ref="C65:D65">VLOOKUP(A65:B65,Dati!$A$2:$F$251,3,FALSE)</f>
        <v>50</v>
      </c>
      <c r="D65" s="2" t="e">
        <v>#N/A</v>
      </c>
      <c r="E65" s="2" t="str" cm="1">
        <f t="array" ref="E65:F65">VLOOKUP(A65:B65,Dati!$A$2:$F$251,4,FALSE)</f>
        <v>Laurea magistrale</v>
      </c>
      <c r="F65" s="2" t="e">
        <v>#N/A</v>
      </c>
      <c r="G65" s="2" t="str" cm="1">
        <f t="array" ref="G65:H65">VLOOKUP(A65:B65,Dati!A209:F458,6,FALSE)</f>
        <v>Direttore risorse umane</v>
      </c>
      <c r="H65" t="e">
        <v>#N/A</v>
      </c>
    </row>
    <row r="66" spans="1:8" x14ac:dyDescent="0.25">
      <c r="A66" s="3" t="s">
        <v>510</v>
      </c>
      <c r="B66" s="3" t="s">
        <v>511</v>
      </c>
      <c r="C66" s="2" cm="1">
        <f t="array" ref="C66:D66">VLOOKUP(A66:B66,Dati!$A$2:$F$251,3,FALSE)</f>
        <v>36</v>
      </c>
      <c r="D66" s="2" t="e">
        <v>#N/A</v>
      </c>
      <c r="E66" s="2" t="str" cm="1">
        <f t="array" ref="E66:F66">VLOOKUP(A66:B66,Dati!$A$2:$F$251,4,FALSE)</f>
        <v>Diploma di scuola superiore</v>
      </c>
      <c r="F66" s="2" t="e">
        <v>#N/A</v>
      </c>
      <c r="G66" s="2" t="str" cm="1">
        <f t="array" ref="G66:H66">VLOOKUP(A66:B66,Dati!A183:F432,6,FALSE)</f>
        <v>Project Manager</v>
      </c>
      <c r="H66" t="e">
        <v>#N/A</v>
      </c>
    </row>
    <row r="67" spans="1:8" x14ac:dyDescent="0.25">
      <c r="A67" s="3" t="s">
        <v>11</v>
      </c>
      <c r="B67" s="3" t="s">
        <v>12</v>
      </c>
      <c r="C67" s="2" cm="1">
        <f t="array" ref="C67:D67">VLOOKUP(A67:B67,Dati!$A$2:$F$251,3,FALSE)</f>
        <v>29</v>
      </c>
      <c r="D67" s="2" t="e">
        <v>#N/A</v>
      </c>
      <c r="E67" s="2" t="str" cm="1">
        <f t="array" ref="E67:F67">VLOOKUP(A67:B67,Dati!$A$2:$F$251,4,FALSE)</f>
        <v>Laurea triennale</v>
      </c>
      <c r="F67" s="2" t="e">
        <v>#N/A</v>
      </c>
      <c r="G67" s="2" t="str" cm="1">
        <f t="array" ref="G67:H67">VLOOKUP(A67:B67,Dati!A3:F252,6,FALSE)</f>
        <v>Responsabile vendite</v>
      </c>
      <c r="H67" t="e">
        <v>#N/A</v>
      </c>
    </row>
    <row r="68" spans="1:8" x14ac:dyDescent="0.25">
      <c r="A68" s="3" t="s">
        <v>11</v>
      </c>
      <c r="B68" s="3" t="s">
        <v>657</v>
      </c>
      <c r="C68" s="2" cm="1">
        <f t="array" ref="C68:D68">VLOOKUP(A68:B68,Dati!$A$2:$F$251,3,FALSE)</f>
        <v>29</v>
      </c>
      <c r="D68" s="2" t="e">
        <v>#N/A</v>
      </c>
      <c r="E68" s="2" t="str" cm="1">
        <f t="array" ref="E68:F68">VLOOKUP(A68:B68,Dati!$A$2:$F$251,4,FALSE)</f>
        <v>Laurea triennale</v>
      </c>
      <c r="F68" s="2" t="e">
        <v>#N/A</v>
      </c>
      <c r="G68" s="2" t="str" cm="1">
        <f t="array" ref="G68:H68">VLOOKUP(A68:B68,Dati!A241:F490,6,FALSE)</f>
        <v>Responsabile vendite</v>
      </c>
      <c r="H68" t="e">
        <v>#N/A</v>
      </c>
    </row>
    <row r="69" spans="1:8" x14ac:dyDescent="0.25">
      <c r="A69" s="3" t="s">
        <v>211</v>
      </c>
      <c r="B69" s="3" t="s">
        <v>212</v>
      </c>
      <c r="C69" s="2" cm="1">
        <f t="array" ref="C69:D69">VLOOKUP(A69:B69,Dati!$A$2:$F$251,3,FALSE)</f>
        <v>45</v>
      </c>
      <c r="D69" s="2" t="e">
        <v>#N/A</v>
      </c>
      <c r="E69" s="2" t="str" cm="1">
        <f t="array" ref="E69:F69">VLOOKUP(A69:B69,Dati!$A$2:$F$251,4,FALSE)</f>
        <v>Dottorato di ricerca</v>
      </c>
      <c r="F69" s="2" t="e">
        <v>#N/A</v>
      </c>
      <c r="G69" s="2" t="str" cm="1">
        <f t="array" ref="G69:H69">VLOOKUP(A69:B69,Dati!A68:F317,6,FALSE)</f>
        <v>Direttore risorse umane</v>
      </c>
      <c r="H69" t="e">
        <v>#N/A</v>
      </c>
    </row>
    <row r="70" spans="1:8" x14ac:dyDescent="0.25">
      <c r="A70" s="3" t="s">
        <v>134</v>
      </c>
      <c r="B70" s="3" t="s">
        <v>135</v>
      </c>
      <c r="C70" s="2" cm="1">
        <f t="array" ref="C70:D70">VLOOKUP(A70:B70,Dati!$A$2:$F$251,3,FALSE)</f>
        <v>56</v>
      </c>
      <c r="D70" s="2" t="e">
        <v>#N/A</v>
      </c>
      <c r="E70" s="2" t="str" cm="1">
        <f t="array" ref="E70:F70">VLOOKUP(A70:B70,Dati!$A$2:$F$251,4,FALSE)</f>
        <v>Diploma di scuola superiore</v>
      </c>
      <c r="F70" s="2" t="e">
        <v>#N/A</v>
      </c>
      <c r="G70" s="2" t="str" cm="1">
        <f t="array" ref="G70:H70">VLOOKUP(A70:B70,Dati!A40:F289,6,FALSE)</f>
        <v>Responsabile vendite</v>
      </c>
      <c r="H70" t="e">
        <v>#N/A</v>
      </c>
    </row>
    <row r="71" spans="1:8" x14ac:dyDescent="0.25">
      <c r="A71" s="3" t="s">
        <v>322</v>
      </c>
      <c r="B71" s="3" t="s">
        <v>323</v>
      </c>
      <c r="C71" s="2" cm="1">
        <f t="array" ref="C71:D71">VLOOKUP(A71:B71,Dati!$A$2:$F$251,3,FALSE)</f>
        <v>41</v>
      </c>
      <c r="D71" s="2" t="e">
        <v>#N/A</v>
      </c>
      <c r="E71" s="2" t="str" cm="1">
        <f t="array" ref="E71:F71">VLOOKUP(A71:B71,Dati!$A$2:$F$251,4,FALSE)</f>
        <v>Diploma di scuola superiore</v>
      </c>
      <c r="F71" s="2" t="e">
        <v>#N/A</v>
      </c>
      <c r="G71" s="2" t="str" cm="1">
        <f t="array" ref="G71:H71">VLOOKUP(A71:B71,Dati!A108:F357,6,FALSE)</f>
        <v>Tecnico informatico</v>
      </c>
      <c r="H71" t="e">
        <v>#N/A</v>
      </c>
    </row>
    <row r="72" spans="1:8" x14ac:dyDescent="0.25">
      <c r="A72" s="3" t="s">
        <v>336</v>
      </c>
      <c r="B72" s="3" t="s">
        <v>337</v>
      </c>
      <c r="C72" s="2" cm="1">
        <f t="array" ref="C72:D72">VLOOKUP(A72:B72,Dati!$A$2:$F$251,3,FALSE)</f>
        <v>33</v>
      </c>
      <c r="D72" s="2" t="e">
        <v>#N/A</v>
      </c>
      <c r="E72" s="2" t="str" cm="1">
        <f t="array" ref="E72:F72">VLOOKUP(A72:B72,Dati!$A$2:$F$251,4,FALSE)</f>
        <v>Diploma di scuola superiore</v>
      </c>
      <c r="F72" s="2" t="e">
        <v>#N/A</v>
      </c>
      <c r="G72" s="2" t="str" cm="1">
        <f t="array" ref="G72:H72">VLOOKUP(A72:B72,Dati!A113:F362,6,FALSE)</f>
        <v>Marketing Specialist</v>
      </c>
      <c r="H72" t="e">
        <v>#N/A</v>
      </c>
    </row>
    <row r="73" spans="1:8" x14ac:dyDescent="0.25">
      <c r="A73" s="3" t="s">
        <v>143</v>
      </c>
      <c r="B73" s="3" t="s">
        <v>95</v>
      </c>
      <c r="C73" s="2" cm="1">
        <f t="array" ref="C73:D73">VLOOKUP(A73:B73,Dati!$A$2:$F$251,3,FALSE)</f>
        <v>25</v>
      </c>
      <c r="D73" s="2">
        <v>51</v>
      </c>
      <c r="E73" s="2" t="str" cm="1">
        <f t="array" ref="E73:F73">VLOOKUP(A73:B73,Dati!$A$2:$F$251,4,FALSE)</f>
        <v>Diploma di scuola superiore</v>
      </c>
      <c r="F73" s="2" t="str">
        <v>Laurea triennale</v>
      </c>
      <c r="G73" s="2" t="str" cm="1">
        <f t="array" ref="G73:H73">VLOOKUP(A73:B73,Dati!A43:F292,6,FALSE)</f>
        <v>Addetto logistica</v>
      </c>
      <c r="H73" t="str">
        <v>Tecnico informatico</v>
      </c>
    </row>
    <row r="74" spans="1:8" x14ac:dyDescent="0.25">
      <c r="A74" s="3" t="s">
        <v>143</v>
      </c>
      <c r="B74" s="3" t="s">
        <v>453</v>
      </c>
      <c r="C74" s="2" cm="1">
        <f t="array" ref="C74:D74">VLOOKUP(A74:B74,Dati!$A$2:$F$251,3,FALSE)</f>
        <v>25</v>
      </c>
      <c r="D74" s="2" t="e">
        <v>#N/A</v>
      </c>
      <c r="E74" s="2" t="str" cm="1">
        <f t="array" ref="E74:F74">VLOOKUP(A74:B74,Dati!$A$2:$F$251,4,FALSE)</f>
        <v>Diploma di scuola superiore</v>
      </c>
      <c r="F74" s="2" t="e">
        <v>#N/A</v>
      </c>
      <c r="G74" s="2" t="str" cm="1">
        <f t="array" ref="G74:H74">VLOOKUP(A74:B74,Dati!A160:F409,6,FALSE)</f>
        <v>Marketing Specialist</v>
      </c>
      <c r="H74" t="e">
        <v>#N/A</v>
      </c>
    </row>
    <row r="75" spans="1:8" x14ac:dyDescent="0.25">
      <c r="A75" s="3" t="s">
        <v>424</v>
      </c>
      <c r="B75" s="3" t="s">
        <v>425</v>
      </c>
      <c r="C75" s="2" cm="1">
        <f t="array" ref="C75:D75">VLOOKUP(A75:B75,Dati!$A$2:$F$251,3,FALSE)</f>
        <v>34</v>
      </c>
      <c r="D75" s="2" t="e">
        <v>#N/A</v>
      </c>
      <c r="E75" s="2" t="str" cm="1">
        <f t="array" ref="E75:F75">VLOOKUP(A75:B75,Dati!$A$2:$F$251,4,FALSE)</f>
        <v>Master</v>
      </c>
      <c r="F75" s="2" t="e">
        <v>#N/A</v>
      </c>
      <c r="G75" s="2" t="str" cm="1">
        <f t="array" ref="G75:H75">VLOOKUP(A75:B75,Dati!A148:F397,6,FALSE)</f>
        <v>Marketing Specialist</v>
      </c>
      <c r="H75" t="e">
        <v>#N/A</v>
      </c>
    </row>
    <row r="76" spans="1:8" x14ac:dyDescent="0.25">
      <c r="A76" s="3" t="s">
        <v>424</v>
      </c>
      <c r="B76" s="3" t="s">
        <v>502</v>
      </c>
      <c r="C76" s="2" cm="1">
        <f t="array" ref="C76:D76">VLOOKUP(A76:B76,Dati!$A$2:$F$251,3,FALSE)</f>
        <v>34</v>
      </c>
      <c r="D76" s="2" t="e">
        <v>#N/A</v>
      </c>
      <c r="E76" s="2" t="str" cm="1">
        <f t="array" ref="E76:F76">VLOOKUP(A76:B76,Dati!$A$2:$F$251,4,FALSE)</f>
        <v>Master</v>
      </c>
      <c r="F76" s="2" t="e">
        <v>#N/A</v>
      </c>
      <c r="G76" s="2" t="str" cm="1">
        <f t="array" ref="G76:H76">VLOOKUP(A76:B76,Dati!A179:F428,6,FALSE)</f>
        <v>Project Manager</v>
      </c>
      <c r="H76" t="e">
        <v>#N/A</v>
      </c>
    </row>
    <row r="77" spans="1:8" x14ac:dyDescent="0.25">
      <c r="A77" s="3" t="s">
        <v>339</v>
      </c>
      <c r="B77" s="3" t="s">
        <v>340</v>
      </c>
      <c r="C77" s="2" cm="1">
        <f t="array" ref="C77:D77">VLOOKUP(A77:B77,Dati!$A$2:$F$251,3,FALSE)</f>
        <v>51</v>
      </c>
      <c r="D77" s="2" t="e">
        <v>#N/A</v>
      </c>
      <c r="E77" s="2" t="str" cm="1">
        <f t="array" ref="E77:F77">VLOOKUP(A77:B77,Dati!$A$2:$F$251,4,FALSE)</f>
        <v>Laurea magistrale</v>
      </c>
      <c r="F77" s="2" t="e">
        <v>#N/A</v>
      </c>
      <c r="G77" s="2" t="str" cm="1">
        <f t="array" ref="G77:H77">VLOOKUP(A77:B77,Dati!A114:F363,6,FALSE)</f>
        <v>Impiegato amministrativo</v>
      </c>
      <c r="H77" t="e">
        <v>#N/A</v>
      </c>
    </row>
    <row r="78" spans="1:8" x14ac:dyDescent="0.25">
      <c r="A78" s="3" t="s">
        <v>622</v>
      </c>
      <c r="B78" s="3" t="s">
        <v>623</v>
      </c>
      <c r="C78" s="2" cm="1">
        <f t="array" ref="C78:D78">VLOOKUP(A78:B78,Dati!$A$2:$F$251,3,FALSE)</f>
        <v>32</v>
      </c>
      <c r="D78" s="2" t="e">
        <v>#N/A</v>
      </c>
      <c r="E78" s="2" t="str" cm="1">
        <f t="array" ref="E78:F78">VLOOKUP(A78:B78,Dati!$A$2:$F$251,4,FALSE)</f>
        <v>Dottorato di ricerca</v>
      </c>
      <c r="F78" s="2" t="e">
        <v>#N/A</v>
      </c>
      <c r="G78" s="2" t="str" cm="1">
        <f t="array" ref="G78:H78">VLOOKUP(A78:B78,Dati!A227:F476,6,FALSE)</f>
        <v>Marketing Specialist</v>
      </c>
      <c r="H78" t="e">
        <v>#N/A</v>
      </c>
    </row>
    <row r="79" spans="1:8" x14ac:dyDescent="0.25">
      <c r="A79" s="3" t="s">
        <v>669</v>
      </c>
      <c r="B79" s="3" t="s">
        <v>670</v>
      </c>
      <c r="C79" s="2" cm="1">
        <f t="array" ref="C79:D79">VLOOKUP(A79:B79,Dati!$A$2:$F$251,3,FALSE)</f>
        <v>35</v>
      </c>
      <c r="D79" s="2" t="e">
        <v>#N/A</v>
      </c>
      <c r="E79" s="2" t="str" cm="1">
        <f t="array" ref="E79:F79">VLOOKUP(A79:B79,Dati!$A$2:$F$251,4,FALSE)</f>
        <v>Laurea triennale</v>
      </c>
      <c r="F79" s="2" t="e">
        <v>#N/A</v>
      </c>
      <c r="G79" s="2" t="str" cm="1">
        <f t="array" ref="G79:H79">VLOOKUP(A79:B79,Dati!A247:F496,6,FALSE)</f>
        <v>Tecnico informatico</v>
      </c>
      <c r="H79" t="e">
        <v>#N/A</v>
      </c>
    </row>
    <row r="80" spans="1:8" x14ac:dyDescent="0.25">
      <c r="A80" s="3" t="s">
        <v>54</v>
      </c>
      <c r="B80" s="3" t="s">
        <v>55</v>
      </c>
      <c r="C80" s="2" cm="1">
        <f t="array" ref="C80:D80">VLOOKUP(A80:B80,Dati!$A$2:$F$251,3,FALSE)</f>
        <v>21</v>
      </c>
      <c r="D80" s="2" t="e">
        <v>#N/A</v>
      </c>
      <c r="E80" s="2" t="str" cm="1">
        <f t="array" ref="E80:F80">VLOOKUP(A80:B80,Dati!$A$2:$F$251,4,FALSE)</f>
        <v>Diploma di scuola superiore</v>
      </c>
      <c r="F80" s="2" t="e">
        <v>#N/A</v>
      </c>
      <c r="G80" s="2" t="str" cm="1">
        <f t="array" ref="G80:H80">VLOOKUP(A80:B80,Dati!A14:F263,6,FALSE)</f>
        <v>Impiegato amministrativo</v>
      </c>
      <c r="H80" t="e">
        <v>#N/A</v>
      </c>
    </row>
    <row r="81" spans="1:8" x14ac:dyDescent="0.25">
      <c r="A81" s="3" t="s">
        <v>54</v>
      </c>
      <c r="B81" s="3" t="s">
        <v>464</v>
      </c>
      <c r="C81" s="2" cm="1">
        <f t="array" ref="C81:D81">VLOOKUP(A81:B81,Dati!$A$2:$F$251,3,FALSE)</f>
        <v>21</v>
      </c>
      <c r="D81" s="2" t="e">
        <v>#N/A</v>
      </c>
      <c r="E81" s="2" t="str" cm="1">
        <f t="array" ref="E81:F81">VLOOKUP(A81:B81,Dati!$A$2:$F$251,4,FALSE)</f>
        <v>Diploma di scuola superiore</v>
      </c>
      <c r="F81" s="2" t="e">
        <v>#N/A</v>
      </c>
      <c r="G81" s="2" t="str" cm="1">
        <f t="array" ref="G81:H81">VLOOKUP(A81:B81,Dati!A205:F454,6,FALSE)</f>
        <v>Project Manager</v>
      </c>
      <c r="H81" t="e">
        <v>#N/A</v>
      </c>
    </row>
    <row r="82" spans="1:8" x14ac:dyDescent="0.25">
      <c r="A82" s="3" t="s">
        <v>496</v>
      </c>
      <c r="B82" s="3" t="s">
        <v>497</v>
      </c>
      <c r="C82" s="2" cm="1">
        <f t="array" ref="C82:D82">VLOOKUP(A82:B82,Dati!$A$2:$F$251,3,FALSE)</f>
        <v>35</v>
      </c>
      <c r="D82" s="2" t="e">
        <v>#N/A</v>
      </c>
      <c r="E82" s="2" t="str" cm="1">
        <f t="array" ref="E82:F82">VLOOKUP(A82:B82,Dati!$A$2:$F$251,4,FALSE)</f>
        <v>Dottorato di ricerca</v>
      </c>
      <c r="F82" s="2" t="e">
        <v>#N/A</v>
      </c>
      <c r="G82" s="2" t="str" cm="1">
        <f t="array" ref="G82:H82">VLOOKUP(A82:B82,Dati!A177:F426,6,FALSE)</f>
        <v>Operaio specializzato</v>
      </c>
      <c r="H82" t="e">
        <v>#N/A</v>
      </c>
    </row>
    <row r="83" spans="1:8" x14ac:dyDescent="0.25">
      <c r="A83" s="3" t="s">
        <v>124</v>
      </c>
      <c r="B83" s="3" t="s">
        <v>125</v>
      </c>
      <c r="C83" s="2" cm="1">
        <f t="array" ref="C83:D83">VLOOKUP(A83:B83,Dati!$A$2:$F$251,3,FALSE)</f>
        <v>20</v>
      </c>
      <c r="D83" s="2" t="e">
        <v>#N/A</v>
      </c>
      <c r="E83" s="2" t="str" cm="1">
        <f t="array" ref="E83:F83">VLOOKUP(A83:B83,Dati!$A$2:$F$251,4,FALSE)</f>
        <v>Diploma di scuola superiore</v>
      </c>
      <c r="F83" s="2" t="e">
        <v>#N/A</v>
      </c>
      <c r="G83" s="2" t="str" cm="1">
        <f t="array" ref="G83:H83">VLOOKUP(A83:B83,Dati!A37:F286,6,FALSE)</f>
        <v>Contabile</v>
      </c>
      <c r="H83" t="e">
        <v>#N/A</v>
      </c>
    </row>
    <row r="84" spans="1:8" x14ac:dyDescent="0.25">
      <c r="A84" s="3" t="s">
        <v>276</v>
      </c>
      <c r="B84" s="3" t="s">
        <v>277</v>
      </c>
      <c r="C84" s="2" cm="1">
        <f t="array" ref="C84:D84">VLOOKUP(A84:B84,Dati!$A$2:$F$251,3,FALSE)</f>
        <v>31</v>
      </c>
      <c r="D84" s="2" t="e">
        <v>#N/A</v>
      </c>
      <c r="E84" s="2" t="str" cm="1">
        <f t="array" ref="E84:F84">VLOOKUP(A84:B84,Dati!$A$2:$F$251,4,FALSE)</f>
        <v>Laurea magistrale</v>
      </c>
      <c r="F84" s="2" t="e">
        <v>#N/A</v>
      </c>
      <c r="G84" s="2" t="str" cm="1">
        <f t="array" ref="G84:H84">VLOOKUP(A84:B84,Dati!A92:F341,6,FALSE)</f>
        <v>Tecnico informatico</v>
      </c>
      <c r="H84" t="e">
        <v>#N/A</v>
      </c>
    </row>
    <row r="85" spans="1:8" x14ac:dyDescent="0.25">
      <c r="A85" s="3" t="s">
        <v>279</v>
      </c>
      <c r="B85" s="3" t="s">
        <v>280</v>
      </c>
      <c r="C85" s="2" cm="1">
        <f t="array" ref="C85:D85">VLOOKUP(A85:B85,Dati!$A$2:$F$251,3,FALSE)</f>
        <v>42</v>
      </c>
      <c r="D85" s="2" t="e">
        <v>#N/A</v>
      </c>
      <c r="E85" s="2" t="str" cm="1">
        <f t="array" ref="E85:F85">VLOOKUP(A85:B85,Dati!$A$2:$F$251,4,FALSE)</f>
        <v>Diploma di scuola superiore</v>
      </c>
      <c r="F85" s="2" t="e">
        <v>#N/A</v>
      </c>
      <c r="G85" s="2" t="str" cm="1">
        <f t="array" ref="G85:H85">VLOOKUP(A85:B85,Dati!A93:F342,6,FALSE)</f>
        <v>Operaio specializzato</v>
      </c>
      <c r="H85" t="e">
        <v>#N/A</v>
      </c>
    </row>
    <row r="86" spans="1:8" x14ac:dyDescent="0.25">
      <c r="A86" s="3" t="s">
        <v>32</v>
      </c>
      <c r="B86" s="3" t="s">
        <v>33</v>
      </c>
      <c r="C86" s="2" cm="1">
        <f t="array" ref="C86:D86">VLOOKUP(A86:B86,Dati!$A$2:$F$251,3,FALSE)</f>
        <v>35</v>
      </c>
      <c r="D86" s="2" t="e">
        <v>#N/A</v>
      </c>
      <c r="E86" s="2" t="str" cm="1">
        <f t="array" ref="E86:F86">VLOOKUP(A86:B86,Dati!$A$2:$F$251,4,FALSE)</f>
        <v>Master</v>
      </c>
      <c r="F86" s="2" t="e">
        <v>#N/A</v>
      </c>
      <c r="G86" s="2" t="str" cm="1">
        <f t="array" ref="G86:H86">VLOOKUP(A86:B86,Dati!A8:F257,6,FALSE)</f>
        <v>Direttore risorse umane</v>
      </c>
      <c r="H86" t="e">
        <v>#N/A</v>
      </c>
    </row>
    <row r="87" spans="1:8" x14ac:dyDescent="0.25">
      <c r="A87" s="3" t="s">
        <v>558</v>
      </c>
      <c r="B87" s="3" t="s">
        <v>559</v>
      </c>
      <c r="C87" s="2" cm="1">
        <f t="array" ref="C87:D87">VLOOKUP(A87:B87,Dati!$A$2:$F$251,3,FALSE)</f>
        <v>20</v>
      </c>
      <c r="D87" s="2" t="e">
        <v>#N/A</v>
      </c>
      <c r="E87" s="2" t="str" cm="1">
        <f t="array" ref="E87:F87">VLOOKUP(A87:B87,Dati!$A$2:$F$251,4,FALSE)</f>
        <v>Master</v>
      </c>
      <c r="F87" s="2" t="e">
        <v>#N/A</v>
      </c>
      <c r="G87" s="2" t="str" cm="1">
        <f t="array" ref="G87:H87">VLOOKUP(A87:B87,Dati!A202:F451,6,FALSE)</f>
        <v>Impiegato amministrativo</v>
      </c>
      <c r="H87" t="e">
        <v>#N/A</v>
      </c>
    </row>
    <row r="88" spans="1:8" x14ac:dyDescent="0.25">
      <c r="A88" s="3" t="s">
        <v>638</v>
      </c>
      <c r="B88" s="3" t="s">
        <v>639</v>
      </c>
      <c r="C88" s="2" cm="1">
        <f t="array" ref="C88:D88">VLOOKUP(A88:B88,Dati!$A$2:$F$251,3,FALSE)</f>
        <v>62</v>
      </c>
      <c r="D88" s="2" t="e">
        <v>#N/A</v>
      </c>
      <c r="E88" s="2" t="str" cm="1">
        <f t="array" ref="E88:F88">VLOOKUP(A88:B88,Dati!$A$2:$F$251,4,FALSE)</f>
        <v>Master</v>
      </c>
      <c r="F88" s="2" t="e">
        <v>#N/A</v>
      </c>
      <c r="G88" s="2" t="str" cm="1">
        <f t="array" ref="G88:H88">VLOOKUP(A88:B88,Dati!A234:F483,6,FALSE)</f>
        <v>Responsabile vendite</v>
      </c>
      <c r="H88" t="e">
        <v>#N/A</v>
      </c>
    </row>
    <row r="89" spans="1:8" x14ac:dyDescent="0.25">
      <c r="A89" s="3" t="s">
        <v>550</v>
      </c>
      <c r="B89" s="3" t="s">
        <v>551</v>
      </c>
      <c r="C89" s="2" cm="1">
        <f t="array" ref="C89:D89">VLOOKUP(A89:B89,Dati!$A$2:$F$251,3,FALSE)</f>
        <v>49</v>
      </c>
      <c r="D89" s="2" t="e">
        <v>#N/A</v>
      </c>
      <c r="E89" s="2" t="str" cm="1">
        <f t="array" ref="E89:F89">VLOOKUP(A89:B89,Dati!$A$2:$F$251,4,FALSE)</f>
        <v>Diploma di scuola superiore</v>
      </c>
      <c r="F89" s="2" t="e">
        <v>#N/A</v>
      </c>
      <c r="G89" s="2" t="str" cm="1">
        <f t="array" ref="G89:H89">VLOOKUP(A89:B89,Dati!A199:F448,6,FALSE)</f>
        <v>Operaio specializzato</v>
      </c>
      <c r="H89" t="e">
        <v>#N/A</v>
      </c>
    </row>
    <row r="90" spans="1:8" x14ac:dyDescent="0.25">
      <c r="A90" s="3" t="s">
        <v>591</v>
      </c>
      <c r="B90" s="3" t="s">
        <v>592</v>
      </c>
      <c r="C90" s="2" cm="1">
        <f t="array" ref="C90:D90">VLOOKUP(A90:B90,Dati!$A$2:$F$251,3,FALSE)</f>
        <v>30</v>
      </c>
      <c r="D90" s="2" t="e">
        <v>#N/A</v>
      </c>
      <c r="E90" s="2" t="str" cm="1">
        <f t="array" ref="E90:F90">VLOOKUP(A90:B90,Dati!$A$2:$F$251,4,FALSE)</f>
        <v>Dottorato di ricerca</v>
      </c>
      <c r="F90" s="2" t="e">
        <v>#N/A</v>
      </c>
      <c r="G90" s="2" t="str" cm="1">
        <f t="array" ref="G90:H90">VLOOKUP(A90:B90,Dati!A215:F464,6,FALSE)</f>
        <v>Project Manager</v>
      </c>
      <c r="H90" t="e">
        <v>#N/A</v>
      </c>
    </row>
    <row r="91" spans="1:8" x14ac:dyDescent="0.25">
      <c r="A91" s="3" t="s">
        <v>190</v>
      </c>
      <c r="B91" s="3" t="s">
        <v>191</v>
      </c>
      <c r="C91" s="2" cm="1">
        <f t="array" ref="C91:D91">VLOOKUP(A91:B91,Dati!$A$2:$F$251,3,FALSE)</f>
        <v>32</v>
      </c>
      <c r="D91" s="2" t="e">
        <v>#N/A</v>
      </c>
      <c r="E91" s="2" t="str" cm="1">
        <f t="array" ref="E91:F91">VLOOKUP(A91:B91,Dati!$A$2:$F$251,4,FALSE)</f>
        <v>Diploma di scuola superiore</v>
      </c>
      <c r="F91" s="2" t="e">
        <v>#N/A</v>
      </c>
      <c r="G91" s="2" t="str" cm="1">
        <f t="array" ref="G91:H91">VLOOKUP(A91:B91,Dati!A61:F310,6,FALSE)</f>
        <v>Operaio specializzato</v>
      </c>
      <c r="H91" t="e">
        <v>#N/A</v>
      </c>
    </row>
    <row r="92" spans="1:8" x14ac:dyDescent="0.25">
      <c r="A92" s="3" t="s">
        <v>163</v>
      </c>
      <c r="B92" s="3" t="s">
        <v>164</v>
      </c>
      <c r="C92" s="2" cm="1">
        <f t="array" ref="C92:D92">VLOOKUP(A92:B92,Dati!$A$2:$F$251,3,FALSE)</f>
        <v>61</v>
      </c>
      <c r="D92" s="2" t="e">
        <v>#N/A</v>
      </c>
      <c r="E92" s="2" t="str" cm="1">
        <f t="array" ref="E92:F92">VLOOKUP(A92:B92,Dati!$A$2:$F$251,4,FALSE)</f>
        <v>Master</v>
      </c>
      <c r="F92" s="2" t="e">
        <v>#N/A</v>
      </c>
      <c r="G92" s="2" t="str" cm="1">
        <f t="array" ref="G92:H92">VLOOKUP(A92:B92,Dati!A51:F300,6,FALSE)</f>
        <v>Addetto logistica</v>
      </c>
      <c r="H92" t="e">
        <v>#N/A</v>
      </c>
    </row>
    <row r="93" spans="1:8" x14ac:dyDescent="0.25">
      <c r="A93" s="3" t="s">
        <v>325</v>
      </c>
      <c r="B93" s="3" t="s">
        <v>326</v>
      </c>
      <c r="C93" s="2" cm="1">
        <f t="array" ref="C93:D93">VLOOKUP(A93:B93,Dati!$A$2:$F$251,3,FALSE)</f>
        <v>38</v>
      </c>
      <c r="D93" s="2" t="e">
        <v>#N/A</v>
      </c>
      <c r="E93" s="2" t="str" cm="1">
        <f t="array" ref="E93:F93">VLOOKUP(A93:B93,Dati!$A$2:$F$251,4,FALSE)</f>
        <v>Laurea magistrale</v>
      </c>
      <c r="F93" s="2" t="e">
        <v>#N/A</v>
      </c>
      <c r="G93" s="2" t="str" cm="1">
        <f t="array" ref="G93:H93">VLOOKUP(A93:B93,Dati!A109:F358,6,FALSE)</f>
        <v>Direttore risorse umane</v>
      </c>
      <c r="H93" t="e">
        <v>#N/A</v>
      </c>
    </row>
    <row r="94" spans="1:8" x14ac:dyDescent="0.25">
      <c r="A94" s="3" t="s">
        <v>89</v>
      </c>
      <c r="B94" s="3" t="s">
        <v>90</v>
      </c>
      <c r="C94" s="2" cm="1">
        <f t="array" ref="C94:D94">VLOOKUP(A94:B94,Dati!$A$2:$F$251,3,FALSE)</f>
        <v>47</v>
      </c>
      <c r="D94" s="2" t="e">
        <v>#N/A</v>
      </c>
      <c r="E94" s="2" t="str" cm="1">
        <f t="array" ref="E94:F94">VLOOKUP(A94:B94,Dati!$A$2:$F$251,4,FALSE)</f>
        <v>Master</v>
      </c>
      <c r="F94" s="2" t="e">
        <v>#N/A</v>
      </c>
      <c r="G94" s="2" t="str" cm="1">
        <f t="array" ref="G94:H94">VLOOKUP(A94:B94,Dati!A26:F275,6,FALSE)</f>
        <v>Operaio specializzato</v>
      </c>
      <c r="H94" t="e">
        <v>#N/A</v>
      </c>
    </row>
    <row r="95" spans="1:8" x14ac:dyDescent="0.25">
      <c r="A95" s="3" t="s">
        <v>107</v>
      </c>
      <c r="B95" s="3" t="s">
        <v>108</v>
      </c>
      <c r="C95" s="2" cm="1">
        <f t="array" ref="C95:D95">VLOOKUP(A95:B95,Dati!$A$2:$F$251,3,FALSE)</f>
        <v>42</v>
      </c>
      <c r="D95" s="2" t="e">
        <v>#N/A</v>
      </c>
      <c r="E95" s="2" t="str" cm="1">
        <f t="array" ref="E95:F95">VLOOKUP(A95:B95,Dati!$A$2:$F$251,4,FALSE)</f>
        <v>Master</v>
      </c>
      <c r="F95" s="2" t="e">
        <v>#N/A</v>
      </c>
      <c r="G95" s="2" t="str" cm="1">
        <f t="array" ref="G95:H95">VLOOKUP(A95:B95,Dati!A32:F281,6,FALSE)</f>
        <v>Addetto logistica</v>
      </c>
      <c r="H95" t="e">
        <v>#N/A</v>
      </c>
    </row>
    <row r="96" spans="1:8" x14ac:dyDescent="0.25">
      <c r="A96" s="3" t="s">
        <v>107</v>
      </c>
      <c r="B96" s="3" t="s">
        <v>288</v>
      </c>
      <c r="C96" s="2" cm="1">
        <f t="array" ref="C96:D96">VLOOKUP(A96:B96,Dati!$A$2:$F$251,3,FALSE)</f>
        <v>42</v>
      </c>
      <c r="D96" s="2" t="e">
        <v>#N/A</v>
      </c>
      <c r="E96" s="2" t="str" cm="1">
        <f t="array" ref="E96:F96">VLOOKUP(A96:B96,Dati!$A$2:$F$251,4,FALSE)</f>
        <v>Master</v>
      </c>
      <c r="F96" s="2" t="e">
        <v>#N/A</v>
      </c>
      <c r="G96" s="2" t="str" cm="1">
        <f t="array" ref="G96:H96">VLOOKUP(A96:B96,Dati!A96:F345,6,FALSE)</f>
        <v>Contabile</v>
      </c>
      <c r="H96" t="e">
        <v>#N/A</v>
      </c>
    </row>
    <row r="97" spans="1:8" x14ac:dyDescent="0.25">
      <c r="A97" s="3" t="s">
        <v>107</v>
      </c>
      <c r="B97" s="3" t="s">
        <v>419</v>
      </c>
      <c r="C97" s="2" cm="1">
        <f t="array" ref="C97:D97">VLOOKUP(A97:B97,Dati!$A$2:$F$251,3,FALSE)</f>
        <v>42</v>
      </c>
      <c r="D97" s="2" t="e">
        <v>#N/A</v>
      </c>
      <c r="E97" s="2" t="str" cm="1">
        <f t="array" ref="E97:F97">VLOOKUP(A97:B97,Dati!$A$2:$F$251,4,FALSE)</f>
        <v>Master</v>
      </c>
      <c r="F97" s="2" t="e">
        <v>#N/A</v>
      </c>
      <c r="G97" s="2" t="str" cm="1">
        <f t="array" ref="G97:H97">VLOOKUP(A97:B97,Dati!A146:F395,6,FALSE)</f>
        <v>Project Manager</v>
      </c>
      <c r="H97" t="e">
        <v>#N/A</v>
      </c>
    </row>
    <row r="98" spans="1:8" x14ac:dyDescent="0.25">
      <c r="A98" s="3" t="s">
        <v>518</v>
      </c>
      <c r="B98" s="3" t="s">
        <v>519</v>
      </c>
      <c r="C98" s="2" cm="1">
        <f t="array" ref="C98:D98">VLOOKUP(A98:B98,Dati!$A$2:$F$251,3,FALSE)</f>
        <v>60</v>
      </c>
      <c r="D98" s="2" t="e">
        <v>#N/A</v>
      </c>
      <c r="E98" s="2" t="str" cm="1">
        <f t="array" ref="E98:F98">VLOOKUP(A98:B98,Dati!$A$2:$F$251,4,FALSE)</f>
        <v>Dottorato di ricerca</v>
      </c>
      <c r="F98" s="2" t="e">
        <v>#N/A</v>
      </c>
      <c r="G98" s="2" t="str" cm="1">
        <f t="array" ref="G98:H98">VLOOKUP(A98:B98,Dati!A186:F435,6,FALSE)</f>
        <v>Impiegato amministrativo</v>
      </c>
      <c r="H98" t="e">
        <v>#N/A</v>
      </c>
    </row>
    <row r="99" spans="1:8" x14ac:dyDescent="0.25">
      <c r="A99" s="3" t="s">
        <v>145</v>
      </c>
      <c r="B99" s="3" t="s">
        <v>146</v>
      </c>
      <c r="C99" s="2" cm="1">
        <f t="array" ref="C99:D99">VLOOKUP(A99:B99,Dati!$A$2:$F$251,3,FALSE)</f>
        <v>31</v>
      </c>
      <c r="D99" s="2" t="e">
        <v>#N/A</v>
      </c>
      <c r="E99" s="2" t="str" cm="1">
        <f t="array" ref="E99:F99">VLOOKUP(A99:B99,Dati!$A$2:$F$251,4,FALSE)</f>
        <v>Laurea magistrale</v>
      </c>
      <c r="F99" s="2" t="e">
        <v>#N/A</v>
      </c>
      <c r="G99" s="2" t="str" cm="1">
        <f t="array" ref="G99:H99">VLOOKUP(A99:B99,Dati!A44:F293,6,FALSE)</f>
        <v>Contabile</v>
      </c>
      <c r="H99" t="e">
        <v>#N/A</v>
      </c>
    </row>
    <row r="100" spans="1:8" x14ac:dyDescent="0.25">
      <c r="A100" s="3" t="s">
        <v>145</v>
      </c>
      <c r="B100" s="3" t="s">
        <v>659</v>
      </c>
      <c r="C100" s="2" cm="1">
        <f t="array" ref="C100:D100">VLOOKUP(A100:B100,Dati!$A$2:$F$251,3,FALSE)</f>
        <v>31</v>
      </c>
      <c r="D100" s="2" t="e">
        <v>#N/A</v>
      </c>
      <c r="E100" s="2" t="str" cm="1">
        <f t="array" ref="E100:F100">VLOOKUP(A100:B100,Dati!$A$2:$F$251,4,FALSE)</f>
        <v>Laurea magistrale</v>
      </c>
      <c r="F100" s="2" t="e">
        <v>#N/A</v>
      </c>
      <c r="G100" s="2" t="str" cm="1">
        <f t="array" ref="G100:H100">VLOOKUP(A100:B100,Dati!A242:F491,6,FALSE)</f>
        <v>Impiegato amministrativo</v>
      </c>
      <c r="H100" t="e">
        <v>#N/A</v>
      </c>
    </row>
    <row r="101" spans="1:8" x14ac:dyDescent="0.25">
      <c r="A101" s="3" t="s">
        <v>597</v>
      </c>
      <c r="B101" s="3" t="s">
        <v>598</v>
      </c>
      <c r="C101" s="2" cm="1">
        <f t="array" ref="C101:D101">VLOOKUP(A101:B101,Dati!$A$2:$F$251,3,FALSE)</f>
        <v>50</v>
      </c>
      <c r="D101" s="2" t="e">
        <v>#N/A</v>
      </c>
      <c r="E101" s="2" t="str" cm="1">
        <f t="array" ref="E101:F101">VLOOKUP(A101:B101,Dati!$A$2:$F$251,4,FALSE)</f>
        <v>Laurea triennale</v>
      </c>
      <c r="F101" s="2" t="e">
        <v>#N/A</v>
      </c>
      <c r="G101" s="2" t="str" cm="1">
        <f t="array" ref="G101:H101">VLOOKUP(A101:B101,Dati!A217:F466,6,FALSE)</f>
        <v>Marketing Specialist</v>
      </c>
      <c r="H101" t="e">
        <v>#N/A</v>
      </c>
    </row>
    <row r="102" spans="1:8" x14ac:dyDescent="0.25">
      <c r="A102" s="3" t="s">
        <v>404</v>
      </c>
      <c r="B102" s="3" t="s">
        <v>405</v>
      </c>
      <c r="C102" s="2" cm="1">
        <f t="array" ref="C102:D102">VLOOKUP(A102:B102,Dati!$A$2:$F$251,3,FALSE)</f>
        <v>35</v>
      </c>
      <c r="D102" s="2" t="e">
        <v>#N/A</v>
      </c>
      <c r="E102" s="2" t="str" cm="1">
        <f t="array" ref="E102:F102">VLOOKUP(A102:B102,Dati!$A$2:$F$251,4,FALSE)</f>
        <v>Master</v>
      </c>
      <c r="F102" s="2" t="e">
        <v>#N/A</v>
      </c>
      <c r="G102" s="2" t="str" cm="1">
        <f t="array" ref="G102:H102">VLOOKUP(A102:B102,Dati!A140:F389,6,FALSE)</f>
        <v>Marketing Specialist</v>
      </c>
      <c r="H102" t="e">
        <v>#N/A</v>
      </c>
    </row>
    <row r="103" spans="1:8" x14ac:dyDescent="0.25">
      <c r="A103" s="3" t="s">
        <v>588</v>
      </c>
      <c r="B103" s="3" t="s">
        <v>589</v>
      </c>
      <c r="C103" s="2" cm="1">
        <f t="array" ref="C103:D103">VLOOKUP(A103:B103,Dati!$A$2:$F$251,3,FALSE)</f>
        <v>42</v>
      </c>
      <c r="D103" s="2" t="e">
        <v>#N/A</v>
      </c>
      <c r="E103" s="2" t="str" cm="1">
        <f t="array" ref="E103:F103">VLOOKUP(A103:B103,Dati!$A$2:$F$251,4,FALSE)</f>
        <v>Master</v>
      </c>
      <c r="F103" s="2" t="e">
        <v>#N/A</v>
      </c>
      <c r="G103" s="2" t="str" cm="1">
        <f t="array" ref="G103:H103">VLOOKUP(A103:B103,Dati!A214:F463,6,FALSE)</f>
        <v>Addetto logistica</v>
      </c>
      <c r="H103" t="e">
        <v>#N/A</v>
      </c>
    </row>
    <row r="104" spans="1:8" x14ac:dyDescent="0.25">
      <c r="A104" s="3" t="s">
        <v>208</v>
      </c>
      <c r="B104" s="3" t="s">
        <v>209</v>
      </c>
      <c r="C104" s="2" cm="1">
        <f t="array" ref="C104:D104">VLOOKUP(A104:B104,Dati!$A$2:$F$251,3,FALSE)</f>
        <v>48</v>
      </c>
      <c r="D104" s="2" t="e">
        <v>#N/A</v>
      </c>
      <c r="E104" s="2" t="str" cm="1">
        <f t="array" ref="E104:F104">VLOOKUP(A104:B104,Dati!$A$2:$F$251,4,FALSE)</f>
        <v>Diploma di scuola superiore</v>
      </c>
      <c r="F104" s="2" t="e">
        <v>#N/A</v>
      </c>
      <c r="G104" s="2" t="str" cm="1">
        <f t="array" ref="G104:H104">VLOOKUP(A104:B104,Dati!A67:F316,6,FALSE)</f>
        <v>Operaio specializzato</v>
      </c>
      <c r="H104" t="e">
        <v>#N/A</v>
      </c>
    </row>
    <row r="105" spans="1:8" x14ac:dyDescent="0.25">
      <c r="A105" s="3" t="s">
        <v>644</v>
      </c>
      <c r="B105" s="3" t="s">
        <v>645</v>
      </c>
      <c r="C105" s="2" cm="1">
        <f t="array" ref="C105:D105">VLOOKUP(A105:B105,Dati!$A$2:$F$251,3,FALSE)</f>
        <v>65</v>
      </c>
      <c r="D105" s="2" t="e">
        <v>#N/A</v>
      </c>
      <c r="E105" s="2" t="str" cm="1">
        <f t="array" ref="E105:F105">VLOOKUP(A105:B105,Dati!$A$2:$F$251,4,FALSE)</f>
        <v>Diploma di scuola superiore</v>
      </c>
      <c r="F105" s="2" t="e">
        <v>#N/A</v>
      </c>
      <c r="G105" s="2" t="str" cm="1">
        <f t="array" ref="G105:H105">VLOOKUP(A105:B105,Dati!A236:F485,6,FALSE)</f>
        <v>Marketing Specialist</v>
      </c>
      <c r="H105" t="e">
        <v>#N/A</v>
      </c>
    </row>
    <row r="106" spans="1:8" x14ac:dyDescent="0.25">
      <c r="A106" s="3" t="s">
        <v>296</v>
      </c>
      <c r="B106" s="3" t="s">
        <v>297</v>
      </c>
      <c r="C106" s="2" cm="1">
        <f t="array" ref="C106:D106">VLOOKUP(A106:B106,Dati!$A$2:$F$251,3,FALSE)</f>
        <v>37</v>
      </c>
      <c r="D106" s="2" t="e">
        <v>#N/A</v>
      </c>
      <c r="E106" s="2" t="str" cm="1">
        <f t="array" ref="E106:F106">VLOOKUP(A106:B106,Dati!$A$2:$F$251,4,FALSE)</f>
        <v>Dottorato di ricerca</v>
      </c>
      <c r="F106" s="2" t="e">
        <v>#N/A</v>
      </c>
      <c r="G106" s="2" t="str" cm="1">
        <f t="array" ref="G106:H106">VLOOKUP(A106:B106,Dati!A99:F348,6,FALSE)</f>
        <v>Marketing Specialist</v>
      </c>
      <c r="H106" t="e">
        <v>#N/A</v>
      </c>
    </row>
    <row r="107" spans="1:8" x14ac:dyDescent="0.25">
      <c r="A107" s="3" t="s">
        <v>610</v>
      </c>
      <c r="B107" s="3" t="s">
        <v>611</v>
      </c>
      <c r="C107" s="2" cm="1">
        <f t="array" ref="C107:D107">VLOOKUP(A107:B107,Dati!$A$2:$F$251,3,FALSE)</f>
        <v>30</v>
      </c>
      <c r="D107" s="2" t="e">
        <v>#N/A</v>
      </c>
      <c r="E107" s="2" t="str" cm="1">
        <f t="array" ref="E107:F107">VLOOKUP(A107:B107,Dati!$A$2:$F$251,4,FALSE)</f>
        <v>Laurea triennale</v>
      </c>
      <c r="F107" s="2" t="e">
        <v>#N/A</v>
      </c>
      <c r="G107" s="2" t="str" cm="1">
        <f t="array" ref="G107:H107">VLOOKUP(A107:B107,Dati!A222:F471,6,FALSE)</f>
        <v>Addetto logistica</v>
      </c>
      <c r="H107" t="e">
        <v>#N/A</v>
      </c>
    </row>
    <row r="108" spans="1:8" x14ac:dyDescent="0.25">
      <c r="A108" s="3" t="s">
        <v>448</v>
      </c>
      <c r="B108" s="3" t="s">
        <v>449</v>
      </c>
      <c r="C108" s="2" cm="1">
        <f t="array" ref="C108:D108">VLOOKUP(A108:B108,Dati!$A$2:$F$251,3,FALSE)</f>
        <v>37</v>
      </c>
      <c r="D108" s="2" t="e">
        <v>#N/A</v>
      </c>
      <c r="E108" s="2" t="str" cm="1">
        <f t="array" ref="E108:F108">VLOOKUP(A108:B108,Dati!$A$2:$F$251,4,FALSE)</f>
        <v>Laurea triennale</v>
      </c>
      <c r="F108" s="2" t="e">
        <v>#N/A</v>
      </c>
      <c r="G108" s="2" t="str" cm="1">
        <f t="array" ref="G108:H108">VLOOKUP(A108:B108,Dati!A158:F407,6,FALSE)</f>
        <v>Operaio specializzato</v>
      </c>
      <c r="H108" t="e">
        <v>#N/A</v>
      </c>
    </row>
    <row r="109" spans="1:8" x14ac:dyDescent="0.25">
      <c r="A109" s="3" t="s">
        <v>448</v>
      </c>
      <c r="B109" s="3" t="s">
        <v>586</v>
      </c>
      <c r="C109" s="2" cm="1">
        <f t="array" ref="C109:D109">VLOOKUP(A109:B109,Dati!$A$2:$F$251,3,FALSE)</f>
        <v>37</v>
      </c>
      <c r="D109" s="2" t="e">
        <v>#N/A</v>
      </c>
      <c r="E109" s="2" t="str" cm="1">
        <f t="array" ref="E109:F109">VLOOKUP(A109:B109,Dati!$A$2:$F$251,4,FALSE)</f>
        <v>Laurea triennale</v>
      </c>
      <c r="F109" s="2" t="e">
        <v>#N/A</v>
      </c>
      <c r="G109" s="2" t="str" cm="1">
        <f t="array" ref="G109:H109">VLOOKUP(A109:B109,Dati!A213:F462,6,FALSE)</f>
        <v>Operaio specializzato</v>
      </c>
      <c r="H109" t="e">
        <v>#N/A</v>
      </c>
    </row>
    <row r="110" spans="1:8" x14ac:dyDescent="0.25">
      <c r="A110" s="3" t="s">
        <v>128</v>
      </c>
      <c r="B110" s="3" t="s">
        <v>129</v>
      </c>
      <c r="C110" s="2" cm="1">
        <f t="array" ref="C110:D110">VLOOKUP(A110:B110,Dati!$A$2:$F$251,3,FALSE)</f>
        <v>43</v>
      </c>
      <c r="D110" s="2" t="e">
        <v>#N/A</v>
      </c>
      <c r="E110" s="2" t="str" cm="1">
        <f t="array" ref="E110:F110">VLOOKUP(A110:B110,Dati!$A$2:$F$251,4,FALSE)</f>
        <v>Diploma di scuola superiore</v>
      </c>
      <c r="F110" s="2" t="e">
        <v>#N/A</v>
      </c>
      <c r="G110" s="2" t="str" cm="1">
        <f t="array" ref="G110:H110">VLOOKUP(A110:B110,Dati!A38:F287,6,FALSE)</f>
        <v>Impiegato amministrativo</v>
      </c>
      <c r="H110" t="e">
        <v>#N/A</v>
      </c>
    </row>
    <row r="111" spans="1:8" x14ac:dyDescent="0.25">
      <c r="A111" s="3" t="s">
        <v>187</v>
      </c>
      <c r="B111" s="3" t="s">
        <v>188</v>
      </c>
      <c r="C111" s="2" cm="1">
        <f t="array" ref="C111:D111">VLOOKUP(A111:B111,Dati!$A$2:$F$251,3,FALSE)</f>
        <v>44</v>
      </c>
      <c r="D111" s="2" t="e">
        <v>#N/A</v>
      </c>
      <c r="E111" s="2" t="str" cm="1">
        <f t="array" ref="E111:F111">VLOOKUP(A111:B111,Dati!$A$2:$F$251,4,FALSE)</f>
        <v>Dottorato di ricerca</v>
      </c>
      <c r="F111" s="2" t="e">
        <v>#N/A</v>
      </c>
      <c r="G111" s="2" t="str" cm="1">
        <f t="array" ref="G111:H111">VLOOKUP(A111:B111,Dati!A60:F309,6,FALSE)</f>
        <v>Addetto logistica</v>
      </c>
      <c r="H111" t="e">
        <v>#N/A</v>
      </c>
    </row>
    <row r="112" spans="1:8" x14ac:dyDescent="0.25">
      <c r="A112" s="3" t="s">
        <v>268</v>
      </c>
      <c r="B112" s="3" t="s">
        <v>269</v>
      </c>
      <c r="C112" s="2" cm="1">
        <f t="array" ref="C112:D112">VLOOKUP(A112:B112,Dati!$A$2:$F$251,3,FALSE)</f>
        <v>27</v>
      </c>
      <c r="D112" s="2" t="e">
        <v>#N/A</v>
      </c>
      <c r="E112" s="2" t="str" cm="1">
        <f t="array" ref="E112:F112">VLOOKUP(A112:B112,Dati!$A$2:$F$251,4,FALSE)</f>
        <v>Laurea magistrale</v>
      </c>
      <c r="F112" s="2" t="e">
        <v>#N/A</v>
      </c>
      <c r="G112" s="2" t="str" cm="1">
        <f t="array" ref="G112:H112">VLOOKUP(A112:B112,Dati!A89:F338,6,FALSE)</f>
        <v>Tecnico informatico</v>
      </c>
      <c r="H112" t="e">
        <v>#N/A</v>
      </c>
    </row>
    <row r="113" spans="1:8" x14ac:dyDescent="0.25">
      <c r="A113" s="3" t="s">
        <v>268</v>
      </c>
      <c r="B113" s="3" t="s">
        <v>331</v>
      </c>
      <c r="C113" s="2" cm="1">
        <f t="array" ref="C113:D113">VLOOKUP(A113:B113,Dati!$A$2:$F$251,3,FALSE)</f>
        <v>27</v>
      </c>
      <c r="D113" s="2" t="e">
        <v>#N/A</v>
      </c>
      <c r="E113" s="2" t="str" cm="1">
        <f t="array" ref="E113:F113">VLOOKUP(A113:B113,Dati!$A$2:$F$251,4,FALSE)</f>
        <v>Laurea magistrale</v>
      </c>
      <c r="F113" s="2" t="e">
        <v>#N/A</v>
      </c>
      <c r="G113" s="2" t="str" cm="1">
        <f t="array" ref="G113:H113">VLOOKUP(A113:B113,Dati!A111:F360,6,FALSE)</f>
        <v>Marketing Specialist</v>
      </c>
      <c r="H113" t="e">
        <v>#N/A</v>
      </c>
    </row>
    <row r="114" spans="1:8" x14ac:dyDescent="0.25">
      <c r="A114" s="3" t="s">
        <v>268</v>
      </c>
      <c r="B114" s="3" t="s">
        <v>608</v>
      </c>
      <c r="C114" s="2" cm="1">
        <f t="array" ref="C114:D114">VLOOKUP(A114:B114,Dati!$A$2:$F$251,3,FALSE)</f>
        <v>27</v>
      </c>
      <c r="D114" s="2" t="e">
        <v>#N/A</v>
      </c>
      <c r="E114" s="2" t="str" cm="1">
        <f t="array" ref="E114:F114">VLOOKUP(A114:B114,Dati!$A$2:$F$251,4,FALSE)</f>
        <v>Laurea magistrale</v>
      </c>
      <c r="F114" s="2" t="e">
        <v>#N/A</v>
      </c>
      <c r="G114" s="2" t="str" cm="1">
        <f t="array" ref="G114:H114">VLOOKUP(A114:B114,Dati!A221:F470,6,FALSE)</f>
        <v>Contabile</v>
      </c>
      <c r="H114" t="e">
        <v>#N/A</v>
      </c>
    </row>
    <row r="115" spans="1:8" x14ac:dyDescent="0.25">
      <c r="A115" s="3" t="s">
        <v>219</v>
      </c>
      <c r="B115" s="3" t="s">
        <v>220</v>
      </c>
      <c r="C115" s="2" cm="1">
        <f t="array" ref="C115:D115">VLOOKUP(A115:B115,Dati!$A$2:$F$251,3,FALSE)</f>
        <v>61</v>
      </c>
      <c r="D115" s="2" t="e">
        <v>#N/A</v>
      </c>
      <c r="E115" s="2" t="str" cm="1">
        <f t="array" ref="E115:F115">VLOOKUP(A115:B115,Dati!$A$2:$F$251,4,FALSE)</f>
        <v>Diploma di scuola superiore</v>
      </c>
      <c r="F115" s="2" t="e">
        <v>#N/A</v>
      </c>
      <c r="G115" s="2" t="str" cm="1">
        <f t="array" ref="G115:H115">VLOOKUP(A115:B115,Dati!A71:F320,6,FALSE)</f>
        <v>Project Manager</v>
      </c>
      <c r="H115" t="e">
        <v>#N/A</v>
      </c>
    </row>
    <row r="116" spans="1:8" x14ac:dyDescent="0.25">
      <c r="A116" s="3" t="s">
        <v>290</v>
      </c>
      <c r="B116" s="3" t="s">
        <v>291</v>
      </c>
      <c r="C116" s="2" cm="1">
        <f t="array" ref="C116:D116">VLOOKUP(A116:B116,Dati!$A$2:$F$251,3,FALSE)</f>
        <v>40</v>
      </c>
      <c r="D116" s="2" t="e">
        <v>#N/A</v>
      </c>
      <c r="E116" s="2" t="str" cm="1">
        <f t="array" ref="E116:F116">VLOOKUP(A116:B116,Dati!$A$2:$F$251,4,FALSE)</f>
        <v>Laurea magistrale</v>
      </c>
      <c r="F116" s="2" t="e">
        <v>#N/A</v>
      </c>
      <c r="G116" s="2" t="str" cm="1">
        <f t="array" ref="G116:H116">VLOOKUP(A116:B116,Dati!A97:F346,6,FALSE)</f>
        <v>Responsabile vendite</v>
      </c>
      <c r="H116" t="e">
        <v>#N/A</v>
      </c>
    </row>
    <row r="117" spans="1:8" x14ac:dyDescent="0.25">
      <c r="A117" s="3" t="s">
        <v>530</v>
      </c>
      <c r="B117" s="3" t="s">
        <v>531</v>
      </c>
      <c r="C117" s="2" cm="1">
        <f t="array" ref="C117:D117">VLOOKUP(A117:B117,Dati!$A$2:$F$251,3,FALSE)</f>
        <v>47</v>
      </c>
      <c r="D117" s="2" t="e">
        <v>#N/A</v>
      </c>
      <c r="E117" s="2" t="str" cm="1">
        <f t="array" ref="E117:F117">VLOOKUP(A117:B117,Dati!$A$2:$F$251,4,FALSE)</f>
        <v>Laurea magistrale</v>
      </c>
      <c r="F117" s="2" t="e">
        <v>#N/A</v>
      </c>
      <c r="G117" s="2" t="str" cm="1">
        <f t="array" ref="G117:H117">VLOOKUP(A117:B117,Dati!A191:F440,6,FALSE)</f>
        <v>Tecnico informatico</v>
      </c>
      <c r="H117" t="e">
        <v>#N/A</v>
      </c>
    </row>
    <row r="118" spans="1:8" x14ac:dyDescent="0.25">
      <c r="A118" s="3" t="s">
        <v>95</v>
      </c>
      <c r="B118" s="3" t="s">
        <v>96</v>
      </c>
      <c r="C118" s="2" cm="1">
        <f t="array" ref="C118:D118">VLOOKUP(A118:B118,Dati!$A$2:$F$251,3,FALSE)</f>
        <v>51</v>
      </c>
      <c r="D118" s="2" t="e">
        <v>#N/A</v>
      </c>
      <c r="E118" s="2" t="str" cm="1">
        <f t="array" ref="E118:F118">VLOOKUP(A118:B118,Dati!$A$2:$F$251,4,FALSE)</f>
        <v>Laurea triennale</v>
      </c>
      <c r="F118" s="2" t="e">
        <v>#N/A</v>
      </c>
      <c r="G118" s="2" t="str" cm="1">
        <f t="array" ref="G118:H118">VLOOKUP(A118:B118,Dati!A28:F277,6,FALSE)</f>
        <v>Responsabile vendite</v>
      </c>
      <c r="H118" t="e">
        <v>#N/A</v>
      </c>
    </row>
    <row r="119" spans="1:8" x14ac:dyDescent="0.25">
      <c r="A119" s="3" t="s">
        <v>95</v>
      </c>
      <c r="B119" s="3" t="s">
        <v>613</v>
      </c>
      <c r="C119" s="2" cm="1">
        <f t="array" ref="C119:D119">VLOOKUP(A119:B119,Dati!$A$2:$F$251,3,FALSE)</f>
        <v>51</v>
      </c>
      <c r="D119" s="2" t="e">
        <v>#N/A</v>
      </c>
      <c r="E119" s="2" t="str" cm="1">
        <f t="array" ref="E119:F119">VLOOKUP(A119:B119,Dati!$A$2:$F$251,4,FALSE)</f>
        <v>Laurea triennale</v>
      </c>
      <c r="F119" s="2" t="e">
        <v>#N/A</v>
      </c>
      <c r="G119" s="2" t="str" cm="1">
        <f t="array" ref="G119:H119">VLOOKUP(A119:B119,Dati!A223:F472,6,FALSE)</f>
        <v>Tecnico informatico</v>
      </c>
      <c r="H119" t="e">
        <v>#N/A</v>
      </c>
    </row>
    <row r="120" spans="1:8" x14ac:dyDescent="0.25">
      <c r="A120" s="3" t="s">
        <v>285</v>
      </c>
      <c r="B120" s="3" t="s">
        <v>286</v>
      </c>
      <c r="C120" s="2" cm="1">
        <f t="array" ref="C120:D120">VLOOKUP(A120:B120,Dati!$A$2:$F$251,3,FALSE)</f>
        <v>26</v>
      </c>
      <c r="D120" s="2">
        <v>46</v>
      </c>
      <c r="E120" s="2" t="str" cm="1">
        <f t="array" ref="E120:F120">VLOOKUP(A120:B120,Dati!$A$2:$F$251,4,FALSE)</f>
        <v>Diploma di scuola superiore</v>
      </c>
      <c r="F120" s="2" t="str">
        <v>Diploma di scuola superiore</v>
      </c>
      <c r="G120" s="2" t="str" cm="1">
        <f t="array" ref="G120:H120">VLOOKUP(A120:B120,Dati!A95:F344,6,FALSE)</f>
        <v>Project Manager</v>
      </c>
      <c r="H120" t="str">
        <v>Project Manager</v>
      </c>
    </row>
    <row r="121" spans="1:8" x14ac:dyDescent="0.25">
      <c r="A121" s="3" t="s">
        <v>274</v>
      </c>
      <c r="B121" s="3" t="s">
        <v>257</v>
      </c>
      <c r="C121" s="2" cm="1">
        <f t="array" ref="C121:D121">VLOOKUP(A121:B121,Dati!$A$2:$F$251,3,FALSE)</f>
        <v>30</v>
      </c>
      <c r="D121" s="2" t="e">
        <v>#N/A</v>
      </c>
      <c r="E121" s="2" t="str" cm="1">
        <f t="array" ref="E121:F121">VLOOKUP(A121:B121,Dati!$A$2:$F$251,4,FALSE)</f>
        <v>Dottorato di ricerca</v>
      </c>
      <c r="F121" s="2" t="e">
        <v>#N/A</v>
      </c>
      <c r="G121" s="2" t="str" cm="1">
        <f t="array" ref="G121:H121">VLOOKUP(A121:B121,Dati!A91:F340,6,FALSE)</f>
        <v>Impiegato amministrativo</v>
      </c>
      <c r="H121" t="e">
        <v>#N/A</v>
      </c>
    </row>
    <row r="122" spans="1:8" x14ac:dyDescent="0.25">
      <c r="A122" s="3" t="s">
        <v>521</v>
      </c>
      <c r="B122" s="3" t="s">
        <v>522</v>
      </c>
      <c r="C122" s="2" cm="1">
        <f t="array" ref="C122:D122">VLOOKUP(A122:B122,Dati!$A$2:$F$251,3,FALSE)</f>
        <v>44</v>
      </c>
      <c r="D122" s="2" t="e">
        <v>#N/A</v>
      </c>
      <c r="E122" s="2" t="str" cm="1">
        <f t="array" ref="E122:F122">VLOOKUP(A122:B122,Dati!$A$2:$F$251,4,FALSE)</f>
        <v>Diploma di scuola superiore</v>
      </c>
      <c r="F122" s="2" t="e">
        <v>#N/A</v>
      </c>
      <c r="G122" s="2" t="str" cm="1">
        <f t="array" ref="G122:H122">VLOOKUP(A122:B122,Dati!A187:F436,6,FALSE)</f>
        <v>Operaio specializzato</v>
      </c>
      <c r="H122" t="e">
        <v>#N/A</v>
      </c>
    </row>
    <row r="123" spans="1:8" x14ac:dyDescent="0.25">
      <c r="A123" s="3" t="s">
        <v>441</v>
      </c>
      <c r="B123" s="3" t="s">
        <v>442</v>
      </c>
      <c r="C123" s="2" cm="1">
        <f t="array" ref="C123:D123">VLOOKUP(A123:B123,Dati!$A$2:$F$251,3,FALSE)</f>
        <v>63</v>
      </c>
      <c r="D123" s="2" t="e">
        <v>#N/A</v>
      </c>
      <c r="E123" s="2" t="str" cm="1">
        <f t="array" ref="E123:F123">VLOOKUP(A123:B123,Dati!$A$2:$F$251,4,FALSE)</f>
        <v>Laurea triennale</v>
      </c>
      <c r="F123" s="2" t="e">
        <v>#N/A</v>
      </c>
      <c r="G123" s="2" t="str" cm="1">
        <f t="array" ref="G123:H123">VLOOKUP(A123:B123,Dati!A155:F404,6,FALSE)</f>
        <v>Direttore risorse umane</v>
      </c>
      <c r="H123" t="e">
        <v>#N/A</v>
      </c>
    </row>
    <row r="124" spans="1:8" x14ac:dyDescent="0.25">
      <c r="A124" s="3" t="s">
        <v>168</v>
      </c>
      <c r="B124" s="3" t="s">
        <v>169</v>
      </c>
      <c r="C124" s="2" cm="1">
        <f t="array" ref="C124:D124">VLOOKUP(A124:B124,Dati!$A$2:$F$251,3,FALSE)</f>
        <v>63</v>
      </c>
      <c r="D124" s="2" t="e">
        <v>#N/A</v>
      </c>
      <c r="E124" s="2" t="str" cm="1">
        <f t="array" ref="E124:F124">VLOOKUP(A124:B124,Dati!$A$2:$F$251,4,FALSE)</f>
        <v>Laurea triennale</v>
      </c>
      <c r="F124" s="2" t="e">
        <v>#N/A</v>
      </c>
      <c r="G124" s="2" t="str" cm="1">
        <f t="array" ref="G124:H124">VLOOKUP(A124:B124,Dati!A53:F302,6,FALSE)</f>
        <v>Direttore risorse umane</v>
      </c>
      <c r="H124" t="e">
        <v>#N/A</v>
      </c>
    </row>
    <row r="125" spans="1:8" x14ac:dyDescent="0.25">
      <c r="A125" s="3" t="s">
        <v>168</v>
      </c>
      <c r="B125" s="3" t="s">
        <v>124</v>
      </c>
      <c r="C125" s="2" cm="1">
        <f t="array" ref="C125:D125">VLOOKUP(A125:B125,Dati!$A$2:$F$251,3,FALSE)</f>
        <v>63</v>
      </c>
      <c r="D125" s="2">
        <v>20</v>
      </c>
      <c r="E125" s="2" t="str" cm="1">
        <f t="array" ref="E125:F125">VLOOKUP(A125:B125,Dati!$A$2:$F$251,4,FALSE)</f>
        <v>Laurea triennale</v>
      </c>
      <c r="F125" s="2" t="str">
        <v>Diploma di scuola superiore</v>
      </c>
      <c r="G125" s="2" t="str" cm="1">
        <f t="array" ref="G125:H125">VLOOKUP(A125:B125,Dati!A139:F388,6,FALSE)</f>
        <v>Impiegato amministrativo</v>
      </c>
      <c r="H125" t="e">
        <v>#N/A</v>
      </c>
    </row>
    <row r="126" spans="1:8" x14ac:dyDescent="0.25">
      <c r="A126" s="3" t="s">
        <v>230</v>
      </c>
      <c r="B126" s="3" t="s">
        <v>231</v>
      </c>
      <c r="C126" s="2" cm="1">
        <f t="array" ref="C126:D126">VLOOKUP(A126:B126,Dati!$A$2:$F$251,3,FALSE)</f>
        <v>59</v>
      </c>
      <c r="D126" s="2" t="e">
        <v>#N/A</v>
      </c>
      <c r="E126" s="2" t="str" cm="1">
        <f t="array" ref="E126:F126">VLOOKUP(A126:B126,Dati!$A$2:$F$251,4,FALSE)</f>
        <v>Dottorato di ricerca</v>
      </c>
      <c r="F126" s="2" t="e">
        <v>#N/A</v>
      </c>
      <c r="G126" s="2" t="str" cm="1">
        <f t="array" ref="G126:H126">VLOOKUP(A126:B126,Dati!A75:F324,6,FALSE)</f>
        <v>Addetto logistica</v>
      </c>
      <c r="H126" t="e">
        <v>#N/A</v>
      </c>
    </row>
    <row r="127" spans="1:8" x14ac:dyDescent="0.25">
      <c r="A127" s="3" t="s">
        <v>553</v>
      </c>
      <c r="B127" s="3" t="s">
        <v>554</v>
      </c>
      <c r="C127" s="2" cm="1">
        <f t="array" ref="C127:D127">VLOOKUP(A127:B127,Dati!$A$2:$F$251,3,FALSE)</f>
        <v>47</v>
      </c>
      <c r="D127" s="2" t="e">
        <v>#N/A</v>
      </c>
      <c r="E127" s="2" t="str" cm="1">
        <f t="array" ref="E127:F127">VLOOKUP(A127:B127,Dati!$A$2:$F$251,4,FALSE)</f>
        <v>Master</v>
      </c>
      <c r="F127" s="2" t="e">
        <v>#N/A</v>
      </c>
      <c r="G127" s="2" t="str" cm="1">
        <f t="array" ref="G127:H127">VLOOKUP(A127:B127,Dati!A200:F449,6,FALSE)</f>
        <v>Project Manager</v>
      </c>
      <c r="H127" t="e">
        <v>#N/A</v>
      </c>
    </row>
    <row r="128" spans="1:8" x14ac:dyDescent="0.25">
      <c r="A128" s="3" t="s">
        <v>199</v>
      </c>
      <c r="B128" s="3" t="s">
        <v>200</v>
      </c>
      <c r="C128" s="2" cm="1">
        <f t="array" ref="C128:D128">VLOOKUP(A128:B128,Dati!$A$2:$F$251,3,FALSE)</f>
        <v>24</v>
      </c>
      <c r="D128" s="2" t="e">
        <v>#N/A</v>
      </c>
      <c r="E128" s="2" t="str" cm="1">
        <f t="array" ref="E128:F128">VLOOKUP(A128:B128,Dati!$A$2:$F$251,4,FALSE)</f>
        <v>Laurea magistrale</v>
      </c>
      <c r="F128" s="2" t="e">
        <v>#N/A</v>
      </c>
      <c r="G128" s="2" t="str" cm="1">
        <f t="array" ref="G128:H128">VLOOKUP(A128:B128,Dati!A64:F313,6,FALSE)</f>
        <v>Addetto logistica</v>
      </c>
      <c r="H128" t="e">
        <v>#N/A</v>
      </c>
    </row>
    <row r="129" spans="1:8" x14ac:dyDescent="0.25">
      <c r="A129" s="3" t="s">
        <v>199</v>
      </c>
      <c r="B129" s="3" t="s">
        <v>410</v>
      </c>
      <c r="C129" s="2" cm="1">
        <f t="array" ref="C129:D129">VLOOKUP(A129:B129,Dati!$A$2:$F$251,3,FALSE)</f>
        <v>24</v>
      </c>
      <c r="D129" s="2" t="e">
        <v>#N/A</v>
      </c>
      <c r="E129" s="2" t="str" cm="1">
        <f t="array" ref="E129:F129">VLOOKUP(A129:B129,Dati!$A$2:$F$251,4,FALSE)</f>
        <v>Laurea magistrale</v>
      </c>
      <c r="F129" s="2" t="e">
        <v>#N/A</v>
      </c>
      <c r="G129" s="2" t="str" cm="1">
        <f t="array" ref="G129:H129">VLOOKUP(A129:B129,Dati!A233:F482,6,FALSE)</f>
        <v>Operaio specializzato</v>
      </c>
      <c r="H129" t="e">
        <v>#N/A</v>
      </c>
    </row>
    <row r="130" spans="1:8" x14ac:dyDescent="0.25">
      <c r="A130" s="3" t="s">
        <v>44</v>
      </c>
      <c r="B130" s="3" t="s">
        <v>45</v>
      </c>
      <c r="C130" s="2" cm="1">
        <f t="array" ref="C130:D130">VLOOKUP(A130:B130,Dati!$A$2:$F$251,3,FALSE)</f>
        <v>42</v>
      </c>
      <c r="D130" s="2" t="e">
        <v>#N/A</v>
      </c>
      <c r="E130" s="2" t="str" cm="1">
        <f t="array" ref="E130:F130">VLOOKUP(A130:B130,Dati!$A$2:$F$251,4,FALSE)</f>
        <v>Laurea magistrale</v>
      </c>
      <c r="F130" s="2" t="e">
        <v>#N/A</v>
      </c>
      <c r="G130" s="2" t="str" cm="1">
        <f t="array" ref="G130:H130">VLOOKUP(A130:B130,Dati!A11:F260,6,FALSE)</f>
        <v>Tecnico informatico</v>
      </c>
      <c r="H130" t="e">
        <v>#N/A</v>
      </c>
    </row>
    <row r="131" spans="1:8" x14ac:dyDescent="0.25">
      <c r="A131" s="3" t="s">
        <v>641</v>
      </c>
      <c r="B131" s="3" t="s">
        <v>642</v>
      </c>
      <c r="C131" s="2" cm="1">
        <f t="array" ref="C131:D131">VLOOKUP(A131:B131,Dati!$A$2:$F$251,3,FALSE)</f>
        <v>52</v>
      </c>
      <c r="D131" s="2" t="e">
        <v>#N/A</v>
      </c>
      <c r="E131" s="2" t="str" cm="1">
        <f t="array" ref="E131:F131">VLOOKUP(A131:B131,Dati!$A$2:$F$251,4,FALSE)</f>
        <v>Diploma di scuola superiore</v>
      </c>
      <c r="F131" s="2" t="e">
        <v>#N/A</v>
      </c>
      <c r="G131" s="2" t="str" cm="1">
        <f t="array" ref="G131:H131">VLOOKUP(A131:B131,Dati!A235:F484,6,FALSE)</f>
        <v>Impiegato amministrativo</v>
      </c>
      <c r="H131" t="e">
        <v>#N/A</v>
      </c>
    </row>
    <row r="132" spans="1:8" x14ac:dyDescent="0.25">
      <c r="A132" s="3" t="s">
        <v>432</v>
      </c>
      <c r="B132" s="3" t="s">
        <v>433</v>
      </c>
      <c r="C132" s="2" cm="1">
        <f t="array" ref="C132:D132">VLOOKUP(A132:B132,Dati!$A$2:$F$251,3,FALSE)</f>
        <v>20</v>
      </c>
      <c r="D132" s="2" t="e">
        <v>#N/A</v>
      </c>
      <c r="E132" s="2" t="str" cm="1">
        <f t="array" ref="E132:F132">VLOOKUP(A132:B132,Dati!$A$2:$F$251,4,FALSE)</f>
        <v>Dottorato di ricerca</v>
      </c>
      <c r="F132" s="2" t="e">
        <v>#N/A</v>
      </c>
      <c r="G132" s="2" t="str" cm="1">
        <f t="array" ref="G132:H132">VLOOKUP(A132:B132,Dati!A151:F400,6,FALSE)</f>
        <v>Responsabile vendite</v>
      </c>
      <c r="H132" t="e">
        <v>#N/A</v>
      </c>
    </row>
    <row r="133" spans="1:8" x14ac:dyDescent="0.25">
      <c r="A133" s="3" t="s">
        <v>171</v>
      </c>
      <c r="B133" s="3" t="s">
        <v>172</v>
      </c>
      <c r="C133" s="2" cm="1">
        <f t="array" ref="C133:D133">VLOOKUP(A133:B133,Dati!$A$2:$F$251,3,FALSE)</f>
        <v>43</v>
      </c>
      <c r="D133" s="2" t="e">
        <v>#N/A</v>
      </c>
      <c r="E133" s="2" t="str" cm="1">
        <f t="array" ref="E133:F133">VLOOKUP(A133:B133,Dati!$A$2:$F$251,4,FALSE)</f>
        <v>Laurea triennale</v>
      </c>
      <c r="F133" s="2" t="e">
        <v>#N/A</v>
      </c>
      <c r="G133" s="2" t="str" cm="1">
        <f t="array" ref="G133:H133">VLOOKUP(A133:B133,Dati!A54:F303,6,FALSE)</f>
        <v>Marketing Specialist</v>
      </c>
      <c r="H133" t="e">
        <v>#N/A</v>
      </c>
    </row>
    <row r="134" spans="1:8" x14ac:dyDescent="0.25">
      <c r="A134" s="3" t="s">
        <v>583</v>
      </c>
      <c r="B134" s="3" t="s">
        <v>584</v>
      </c>
      <c r="C134" s="2" cm="1">
        <f t="array" ref="C134:D134">VLOOKUP(A134:B134,Dati!$A$2:$F$251,3,FALSE)</f>
        <v>45</v>
      </c>
      <c r="D134" s="2" t="e">
        <v>#N/A</v>
      </c>
      <c r="E134" s="2" t="str" cm="1">
        <f t="array" ref="E134:F134">VLOOKUP(A134:B134,Dati!$A$2:$F$251,4,FALSE)</f>
        <v>Laurea triennale</v>
      </c>
      <c r="F134" s="2" t="e">
        <v>#N/A</v>
      </c>
      <c r="G134" s="2" t="str" cm="1">
        <f t="array" ref="G134:H134">VLOOKUP(A134:B134,Dati!A212:F461,6,FALSE)</f>
        <v>Impiegato amministrativo</v>
      </c>
      <c r="H134" t="e">
        <v>#N/A</v>
      </c>
    </row>
    <row r="135" spans="1:8" x14ac:dyDescent="0.25">
      <c r="A135" s="3" t="s">
        <v>412</v>
      </c>
      <c r="B135" s="3" t="s">
        <v>413</v>
      </c>
      <c r="C135" s="2" cm="1">
        <f t="array" ref="C135:D135">VLOOKUP(A135:B135,Dati!$A$2:$F$251,3,FALSE)</f>
        <v>61</v>
      </c>
      <c r="D135" s="2" t="e">
        <v>#N/A</v>
      </c>
      <c r="E135" s="2" t="str" cm="1">
        <f t="array" ref="E135:F135">VLOOKUP(A135:B135,Dati!$A$2:$F$251,4,FALSE)</f>
        <v>Laurea triennale</v>
      </c>
      <c r="F135" s="2" t="e">
        <v>#N/A</v>
      </c>
      <c r="G135" s="2" t="str" cm="1">
        <f t="array" ref="G135:H135">VLOOKUP(A135:B135,Dati!A143:F392,6,FALSE)</f>
        <v>Project Manager</v>
      </c>
      <c r="H135" t="e">
        <v>#N/A</v>
      </c>
    </row>
    <row r="136" spans="1:8" x14ac:dyDescent="0.25">
      <c r="A136" s="3" t="s">
        <v>72</v>
      </c>
      <c r="B136" s="3" t="s">
        <v>73</v>
      </c>
      <c r="C136" s="2" cm="1">
        <f t="array" ref="C136:D136">VLOOKUP(A136:B136,Dati!$A$2:$F$251,3,FALSE)</f>
        <v>27</v>
      </c>
      <c r="D136" s="2" t="e">
        <v>#N/A</v>
      </c>
      <c r="E136" s="2" t="str" cm="1">
        <f t="array" ref="E136:F136">VLOOKUP(A136:B136,Dati!$A$2:$F$251,4,FALSE)</f>
        <v>Laurea triennale</v>
      </c>
      <c r="F136" s="2" t="e">
        <v>#N/A</v>
      </c>
      <c r="G136" s="2" t="str" cm="1">
        <f t="array" ref="G136:H136">VLOOKUP(A136:B136,Dati!A20:F269,6,FALSE)</f>
        <v>Operaio specializzato</v>
      </c>
      <c r="H136" t="e">
        <v>#N/A</v>
      </c>
    </row>
    <row r="137" spans="1:8" x14ac:dyDescent="0.25">
      <c r="A137" s="3" t="s">
        <v>477</v>
      </c>
      <c r="B137" s="3" t="s">
        <v>478</v>
      </c>
      <c r="C137" s="2" cm="1">
        <f t="array" ref="C137:D137">VLOOKUP(A137:B137,Dati!$A$2:$F$251,3,FALSE)</f>
        <v>37</v>
      </c>
      <c r="D137" s="2" t="e">
        <v>#N/A</v>
      </c>
      <c r="E137" s="2" t="str" cm="1">
        <f t="array" ref="E137:F137">VLOOKUP(A137:B137,Dati!$A$2:$F$251,4,FALSE)</f>
        <v>Dottorato di ricerca</v>
      </c>
      <c r="F137" s="2" t="e">
        <v>#N/A</v>
      </c>
      <c r="G137" s="2" t="str" cm="1">
        <f t="array" ref="G137:H137">VLOOKUP(A137:B137,Dati!A170:F419,6,FALSE)</f>
        <v>Responsabile vendite</v>
      </c>
      <c r="H137" t="e">
        <v>#N/A</v>
      </c>
    </row>
    <row r="138" spans="1:8" x14ac:dyDescent="0.25">
      <c r="A138" s="3" t="s">
        <v>654</v>
      </c>
      <c r="B138" s="3" t="s">
        <v>655</v>
      </c>
      <c r="C138" s="2" cm="1">
        <f t="array" ref="C138:D138">VLOOKUP(A138:B138,Dati!$A$2:$F$251,3,FALSE)</f>
        <v>32</v>
      </c>
      <c r="D138" s="2" t="e">
        <v>#N/A</v>
      </c>
      <c r="E138" s="2" t="str" cm="1">
        <f t="array" ref="E138:F138">VLOOKUP(A138:B138,Dati!$A$2:$F$251,4,FALSE)</f>
        <v>Master</v>
      </c>
      <c r="F138" s="2" t="e">
        <v>#N/A</v>
      </c>
      <c r="G138" s="2" t="str" cm="1">
        <f t="array" ref="G138:H138">VLOOKUP(A138:B138,Dati!A240:F489,6,FALSE)</f>
        <v>Contabile</v>
      </c>
      <c r="H138" t="e">
        <v>#N/A</v>
      </c>
    </row>
    <row r="139" spans="1:8" x14ac:dyDescent="0.25">
      <c r="A139" s="3" t="s">
        <v>385</v>
      </c>
      <c r="B139" s="3" t="s">
        <v>386</v>
      </c>
      <c r="C139" s="2" cm="1">
        <f t="array" ref="C139:D139">VLOOKUP(A139:B139,Dati!$A$2:$F$251,3,FALSE)</f>
        <v>29</v>
      </c>
      <c r="D139" s="2" t="e">
        <v>#N/A</v>
      </c>
      <c r="E139" s="2" t="str" cm="1">
        <f t="array" ref="E139:F139">VLOOKUP(A139:B139,Dati!$A$2:$F$251,4,FALSE)</f>
        <v>Master</v>
      </c>
      <c r="F139" s="2" t="e">
        <v>#N/A</v>
      </c>
      <c r="G139" s="2" t="str" cm="1">
        <f t="array" ref="G139:H139">VLOOKUP(A139:B139,Dati!A132:F381,6,FALSE)</f>
        <v>Marketing Specialist</v>
      </c>
      <c r="H139" t="e">
        <v>#N/A</v>
      </c>
    </row>
    <row r="140" spans="1:8" x14ac:dyDescent="0.25">
      <c r="A140" s="3" t="s">
        <v>385</v>
      </c>
      <c r="B140" s="3" t="s">
        <v>573</v>
      </c>
      <c r="C140" s="2" cm="1">
        <f t="array" ref="C140:D140">VLOOKUP(A140:B140,Dati!$A$2:$F$251,3,FALSE)</f>
        <v>29</v>
      </c>
      <c r="D140" s="2" t="e">
        <v>#N/A</v>
      </c>
      <c r="E140" s="2" t="str" cm="1">
        <f t="array" ref="E140:F140">VLOOKUP(A140:B140,Dati!$A$2:$F$251,4,FALSE)</f>
        <v>Master</v>
      </c>
      <c r="F140" s="2" t="e">
        <v>#N/A</v>
      </c>
      <c r="G140" s="2" t="str" cm="1">
        <f t="array" ref="G140:H140">VLOOKUP(A140:B140,Dati!A208:F457,6,FALSE)</f>
        <v>Operaio specializzato</v>
      </c>
      <c r="H140" t="e">
        <v>#N/A</v>
      </c>
    </row>
    <row r="141" spans="1:8" x14ac:dyDescent="0.25">
      <c r="A141" s="3" t="s">
        <v>348</v>
      </c>
      <c r="B141" s="3" t="s">
        <v>349</v>
      </c>
      <c r="C141" s="2" cm="1">
        <f t="array" ref="C141:D141">VLOOKUP(A141:B141,Dati!$A$2:$F$251,3,FALSE)</f>
        <v>63</v>
      </c>
      <c r="D141" s="2" t="e">
        <v>#N/A</v>
      </c>
      <c r="E141" s="2" t="str" cm="1">
        <f t="array" ref="E141:F141">VLOOKUP(A141:B141,Dati!$A$2:$F$251,4,FALSE)</f>
        <v>Master</v>
      </c>
      <c r="F141" s="2" t="e">
        <v>#N/A</v>
      </c>
      <c r="G141" s="2" t="str" cm="1">
        <f t="array" ref="G141:H141">VLOOKUP(A141:B141,Dati!A117:F366,6,FALSE)</f>
        <v>Operaio specializzato</v>
      </c>
      <c r="H141" t="e">
        <v>#N/A</v>
      </c>
    </row>
    <row r="142" spans="1:8" x14ac:dyDescent="0.25">
      <c r="A142" s="3" t="s">
        <v>528</v>
      </c>
      <c r="B142" s="3" t="s">
        <v>82</v>
      </c>
      <c r="C142" s="2" cm="1">
        <f t="array" ref="C142:D142">VLOOKUP(A142:B142,Dati!$A$2:$F$251,3,FALSE)</f>
        <v>54</v>
      </c>
      <c r="D142" s="2" t="e">
        <v>#N/A</v>
      </c>
      <c r="E142" s="2" t="str" cm="1">
        <f t="array" ref="E142:F142">VLOOKUP(A142:B142,Dati!$A$2:$F$251,4,FALSE)</f>
        <v>Dottorato di ricerca</v>
      </c>
      <c r="F142" s="2" t="e">
        <v>#N/A</v>
      </c>
      <c r="G142" s="2" t="str" cm="1">
        <f t="array" ref="G142:H142">VLOOKUP(A142:B142,Dati!A190:F439,6,FALSE)</f>
        <v>Contabile</v>
      </c>
      <c r="H142" t="e">
        <v>#N/A</v>
      </c>
    </row>
    <row r="143" spans="1:8" x14ac:dyDescent="0.25">
      <c r="A143" s="3" t="s">
        <v>487</v>
      </c>
      <c r="B143" s="3" t="s">
        <v>488</v>
      </c>
      <c r="C143" s="2" cm="1">
        <f t="array" ref="C143:D143">VLOOKUP(A143:B143,Dati!$A$2:$F$251,3,FALSE)</f>
        <v>35</v>
      </c>
      <c r="D143" s="2" t="e">
        <v>#N/A</v>
      </c>
      <c r="E143" s="2" t="str" cm="1">
        <f t="array" ref="E143:F143">VLOOKUP(A143:B143,Dati!$A$2:$F$251,4,FALSE)</f>
        <v>Master</v>
      </c>
      <c r="F143" s="2" t="e">
        <v>#N/A</v>
      </c>
      <c r="G143" s="2" t="str" cm="1">
        <f t="array" ref="G143:H143">VLOOKUP(A143:B143,Dati!A174:F423,6,FALSE)</f>
        <v>Responsabile vendite</v>
      </c>
      <c r="H143" t="e">
        <v>#N/A</v>
      </c>
    </row>
    <row r="144" spans="1:8" x14ac:dyDescent="0.25">
      <c r="A144" s="3" t="s">
        <v>299</v>
      </c>
      <c r="B144" s="3" t="s">
        <v>300</v>
      </c>
      <c r="C144" s="2" cm="1">
        <f t="array" ref="C144:D144">VLOOKUP(A144:B144,Dati!$A$2:$F$251,3,FALSE)</f>
        <v>52</v>
      </c>
      <c r="D144" s="2" t="e">
        <v>#N/A</v>
      </c>
      <c r="E144" s="2" t="str" cm="1">
        <f t="array" ref="E144:F144">VLOOKUP(A144:B144,Dati!$A$2:$F$251,4,FALSE)</f>
        <v>Master</v>
      </c>
      <c r="F144" s="2" t="e">
        <v>#N/A</v>
      </c>
      <c r="G144" s="2" t="str" cm="1">
        <f t="array" ref="G144:H144">VLOOKUP(A144:B144,Dati!A100:F349,6,FALSE)</f>
        <v>Marketing Specialist</v>
      </c>
      <c r="H144" t="e">
        <v>#N/A</v>
      </c>
    </row>
    <row r="145" spans="1:8" x14ac:dyDescent="0.25">
      <c r="A145" s="3" t="s">
        <v>435</v>
      </c>
      <c r="B145" s="3" t="s">
        <v>436</v>
      </c>
      <c r="C145" s="2" cm="1">
        <f t="array" ref="C145:D145">VLOOKUP(A145:B145,Dati!$A$2:$F$251,3,FALSE)</f>
        <v>28</v>
      </c>
      <c r="D145" s="2" t="e">
        <v>#N/A</v>
      </c>
      <c r="E145" s="2" t="str" cm="1">
        <f t="array" ref="E145:F145">VLOOKUP(A145:B145,Dati!$A$2:$F$251,4,FALSE)</f>
        <v>Laurea triennale</v>
      </c>
      <c r="F145" s="2" t="e">
        <v>#N/A</v>
      </c>
      <c r="G145" s="2" t="str" cm="1">
        <f t="array" ref="G145:H145">VLOOKUP(A145:B145,Dati!A152:F401,6,FALSE)</f>
        <v>Operaio specializzato</v>
      </c>
      <c r="H145" t="e">
        <v>#N/A</v>
      </c>
    </row>
    <row r="146" spans="1:8" x14ac:dyDescent="0.25">
      <c r="A146" s="3" t="s">
        <v>367</v>
      </c>
      <c r="B146" s="3" t="s">
        <v>368</v>
      </c>
      <c r="C146" s="2" cm="1">
        <f t="array" ref="C146:D146">VLOOKUP(A146:B146,Dati!$A$2:$F$251,3,FALSE)</f>
        <v>29</v>
      </c>
      <c r="D146" s="2" t="e">
        <v>#N/A</v>
      </c>
      <c r="E146" s="2" t="str" cm="1">
        <f t="array" ref="E146:F146">VLOOKUP(A146:B146,Dati!$A$2:$F$251,4,FALSE)</f>
        <v>Master</v>
      </c>
      <c r="F146" s="2" t="e">
        <v>#N/A</v>
      </c>
      <c r="G146" s="2" t="str" cm="1">
        <f t="array" ref="G146:H146">VLOOKUP(A146:B146,Dati!A124:F373,6,FALSE)</f>
        <v>Contabile</v>
      </c>
      <c r="H146" t="e">
        <v>#N/A</v>
      </c>
    </row>
    <row r="147" spans="1:8" x14ac:dyDescent="0.25">
      <c r="A147" s="3" t="s">
        <v>367</v>
      </c>
      <c r="B147" s="3" t="s">
        <v>351</v>
      </c>
      <c r="C147" s="2" cm="1">
        <f t="array" ref="C147:D147">VLOOKUP(A147:B147,Dati!$A$2:$F$251,3,FALSE)</f>
        <v>29</v>
      </c>
      <c r="D147" s="2" t="e">
        <v>#N/A</v>
      </c>
      <c r="E147" s="2" t="str" cm="1">
        <f t="array" ref="E147:F147">VLOOKUP(A147:B147,Dati!$A$2:$F$251,4,FALSE)</f>
        <v>Master</v>
      </c>
      <c r="F147" s="2" t="e">
        <v>#N/A</v>
      </c>
      <c r="G147" s="2" t="str" cm="1">
        <f t="array" ref="G147:H147">VLOOKUP(A147:B147,Dati!A192:F441,6,FALSE)</f>
        <v>Direttore risorse umane</v>
      </c>
      <c r="H147" t="e">
        <v>#N/A</v>
      </c>
    </row>
    <row r="148" spans="1:8" x14ac:dyDescent="0.25">
      <c r="A148" s="3" t="s">
        <v>545</v>
      </c>
      <c r="B148" s="3" t="s">
        <v>318</v>
      </c>
      <c r="C148" s="2" cm="1">
        <f t="array" ref="C148:D148">VLOOKUP(A148:B148,Dati!$A$2:$F$251,3,FALSE)</f>
        <v>39</v>
      </c>
      <c r="D148" s="2" t="e">
        <v>#N/A</v>
      </c>
      <c r="E148" s="2" t="str" cm="1">
        <f t="array" ref="E148:F148">VLOOKUP(A148:B148,Dati!$A$2:$F$251,4,FALSE)</f>
        <v>Laurea triennale</v>
      </c>
      <c r="F148" s="2" t="e">
        <v>#N/A</v>
      </c>
      <c r="G148" s="2" t="str" cm="1">
        <f t="array" ref="G148:H148">VLOOKUP(A148:B148,Dati!A197:F446,6,FALSE)</f>
        <v>Responsabile vendite</v>
      </c>
      <c r="H148" t="e">
        <v>#N/A</v>
      </c>
    </row>
    <row r="149" spans="1:8" x14ac:dyDescent="0.25">
      <c r="A149" s="3" t="s">
        <v>81</v>
      </c>
      <c r="B149" s="3" t="s">
        <v>82</v>
      </c>
      <c r="C149" s="2" cm="1">
        <f t="array" ref="C149:D149">VLOOKUP(A149:B149,Dati!$A$2:$F$251,3,FALSE)</f>
        <v>62</v>
      </c>
      <c r="D149" s="2" t="e">
        <v>#N/A</v>
      </c>
      <c r="E149" s="2" t="str" cm="1">
        <f t="array" ref="E149:F149">VLOOKUP(A149:B149,Dati!$A$2:$F$251,4,FALSE)</f>
        <v>Master</v>
      </c>
      <c r="F149" s="2" t="e">
        <v>#N/A</v>
      </c>
      <c r="G149" s="2" t="str" cm="1">
        <f t="array" ref="G149:H149">VLOOKUP(A149:B149,Dati!A23:F272,6,FALSE)</f>
        <v>Direttore risorse umane</v>
      </c>
      <c r="H149" t="e">
        <v>#N/A</v>
      </c>
    </row>
    <row r="150" spans="1:8" x14ac:dyDescent="0.25">
      <c r="A150" s="3" t="s">
        <v>81</v>
      </c>
      <c r="B150" s="3" t="s">
        <v>351</v>
      </c>
      <c r="C150" s="2" cm="1">
        <f t="array" ref="C150:D150">VLOOKUP(A150:B150,Dati!$A$2:$F$251,3,FALSE)</f>
        <v>62</v>
      </c>
      <c r="D150" s="2" t="e">
        <v>#N/A</v>
      </c>
      <c r="E150" s="2" t="str" cm="1">
        <f t="array" ref="E150:F150">VLOOKUP(A150:B150,Dati!$A$2:$F$251,4,FALSE)</f>
        <v>Master</v>
      </c>
      <c r="F150" s="2" t="e">
        <v>#N/A</v>
      </c>
      <c r="G150" s="2" t="str" cm="1">
        <f t="array" ref="G150:H150">VLOOKUP(A150:B150,Dati!A118:F367,6,FALSE)</f>
        <v>Analista dati</v>
      </c>
      <c r="H150" t="e">
        <v>#N/A</v>
      </c>
    </row>
    <row r="151" spans="1:8" x14ac:dyDescent="0.25">
      <c r="A151" s="3" t="s">
        <v>81</v>
      </c>
      <c r="B151" s="3" t="s">
        <v>664</v>
      </c>
      <c r="C151" s="2" cm="1">
        <f t="array" ref="C151:D151">VLOOKUP(A151:B151,Dati!$A$2:$F$251,3,FALSE)</f>
        <v>62</v>
      </c>
      <c r="D151" s="2" t="e">
        <v>#N/A</v>
      </c>
      <c r="E151" s="2" t="str" cm="1">
        <f t="array" ref="E151:F151">VLOOKUP(A151:B151,Dati!$A$2:$F$251,4,FALSE)</f>
        <v>Master</v>
      </c>
      <c r="F151" s="2" t="e">
        <v>#N/A</v>
      </c>
      <c r="G151" s="2" t="str" cm="1">
        <f t="array" ref="G151:H151">VLOOKUP(A151:B151,Dati!A244:F493,6,FALSE)</f>
        <v>Analista dati</v>
      </c>
      <c r="H151" t="e">
        <v>#N/A</v>
      </c>
    </row>
    <row r="152" spans="1:8" x14ac:dyDescent="0.25">
      <c r="A152" s="3" t="s">
        <v>84</v>
      </c>
      <c r="B152" s="3" t="s">
        <v>85</v>
      </c>
      <c r="C152" s="2" cm="1">
        <f t="array" ref="C152:D152">VLOOKUP(A152:B152,Dati!$A$2:$F$251,3,FALSE)</f>
        <v>43</v>
      </c>
      <c r="D152" s="2" t="e">
        <v>#N/A</v>
      </c>
      <c r="E152" s="2" t="str" cm="1">
        <f t="array" ref="E152:F152">VLOOKUP(A152:B152,Dati!$A$2:$F$251,4,FALSE)</f>
        <v>Diploma di scuola superiore</v>
      </c>
      <c r="F152" s="2" t="e">
        <v>#N/A</v>
      </c>
      <c r="G152" s="2" t="str" cm="1">
        <f t="array" ref="G152:H152">VLOOKUP(A152:B152,Dati!A24:F273,6,FALSE)</f>
        <v>Operaio specializzato</v>
      </c>
      <c r="H152" t="e">
        <v>#N/A</v>
      </c>
    </row>
    <row r="153" spans="1:8" x14ac:dyDescent="0.25">
      <c r="A153" s="3" t="s">
        <v>84</v>
      </c>
      <c r="B153" s="3" t="s">
        <v>158</v>
      </c>
      <c r="C153" s="2" cm="1">
        <f t="array" ref="C153:D153">VLOOKUP(A153:B153,Dati!$A$2:$F$251,3,FALSE)</f>
        <v>43</v>
      </c>
      <c r="D153" s="2" t="e">
        <v>#N/A</v>
      </c>
      <c r="E153" s="2" t="str" cm="1">
        <f t="array" ref="E153:F153">VLOOKUP(A153:B153,Dati!$A$2:$F$251,4,FALSE)</f>
        <v>Diploma di scuola superiore</v>
      </c>
      <c r="F153" s="2" t="e">
        <v>#N/A</v>
      </c>
      <c r="G153" s="2" t="str" cm="1">
        <f t="array" ref="G153:H153">VLOOKUP(A153:B153,Dati!A49:F298,6,FALSE)</f>
        <v>Operaio specializzato</v>
      </c>
      <c r="H153" t="e">
        <v>#N/A</v>
      </c>
    </row>
    <row r="154" spans="1:8" x14ac:dyDescent="0.25">
      <c r="A154" s="3" t="s">
        <v>84</v>
      </c>
      <c r="B154" s="3" t="s">
        <v>386</v>
      </c>
      <c r="C154" s="2" cm="1">
        <f t="array" ref="C154:D154">VLOOKUP(A154:B154,Dati!$A$2:$F$251,3,FALSE)</f>
        <v>43</v>
      </c>
      <c r="D154" s="2" t="e">
        <v>#N/A</v>
      </c>
      <c r="E154" s="2" t="str" cm="1">
        <f t="array" ref="E154:F154">VLOOKUP(A154:B154,Dati!$A$2:$F$251,4,FALSE)</f>
        <v>Diploma di scuola superiore</v>
      </c>
      <c r="F154" s="2" t="e">
        <v>#N/A</v>
      </c>
      <c r="G154" s="2" t="str" cm="1">
        <f t="array" ref="G154:H154">VLOOKUP(A154:B154,Dati!A238:F487,6,FALSE)</f>
        <v>Operaio specializzato</v>
      </c>
      <c r="H154" t="e">
        <v>#N/A</v>
      </c>
    </row>
    <row r="155" spans="1:8" x14ac:dyDescent="0.25">
      <c r="A155" s="3" t="s">
        <v>250</v>
      </c>
      <c r="B155" s="3" t="s">
        <v>251</v>
      </c>
      <c r="C155" s="2" cm="1">
        <f t="array" ref="C155:D155">VLOOKUP(A155:B155,Dati!$A$2:$F$251,3,FALSE)</f>
        <v>30</v>
      </c>
      <c r="D155" s="2" t="e">
        <v>#N/A</v>
      </c>
      <c r="E155" s="2" t="str" cm="1">
        <f t="array" ref="E155:F155">VLOOKUP(A155:B155,Dati!$A$2:$F$251,4,FALSE)</f>
        <v>Laurea triennale</v>
      </c>
      <c r="F155" s="2" t="e">
        <v>#N/A</v>
      </c>
      <c r="G155" s="2" t="str" cm="1">
        <f t="array" ref="G155:H155">VLOOKUP(A155:B155,Dati!A83:F332,6,FALSE)</f>
        <v>Project Manager</v>
      </c>
      <c r="H155" t="e">
        <v>#N/A</v>
      </c>
    </row>
    <row r="156" spans="1:8" x14ac:dyDescent="0.25">
      <c r="A156" s="3" t="s">
        <v>250</v>
      </c>
      <c r="B156" s="3" t="s">
        <v>675</v>
      </c>
      <c r="C156" s="2" cm="1">
        <f t="array" ref="C156:D156">VLOOKUP(A156:B156,Dati!$A$2:$F$251,3,FALSE)</f>
        <v>30</v>
      </c>
      <c r="D156" s="2" t="e">
        <v>#N/A</v>
      </c>
      <c r="E156" s="2" t="str" cm="1">
        <f t="array" ref="E156:F156">VLOOKUP(A156:B156,Dati!$A$2:$F$251,4,FALSE)</f>
        <v>Laurea triennale</v>
      </c>
      <c r="F156" s="2" t="e">
        <v>#N/A</v>
      </c>
      <c r="G156" s="2" t="str" cm="1">
        <f t="array" ref="G156:H156">VLOOKUP(A156:B156,Dati!A249:F498,6,FALSE)</f>
        <v>Analista dati</v>
      </c>
      <c r="H156" t="e">
        <v>#N/A</v>
      </c>
    </row>
    <row r="157" spans="1:8" x14ac:dyDescent="0.25">
      <c r="A157" s="3" t="s">
        <v>407</v>
      </c>
      <c r="B157" s="3" t="s">
        <v>401</v>
      </c>
      <c r="C157" s="2" cm="1">
        <f t="array" ref="C157:D157">VLOOKUP(A157:B157,Dati!$A$2:$F$251,3,FALSE)</f>
        <v>56</v>
      </c>
      <c r="D157" s="2" t="e">
        <v>#N/A</v>
      </c>
      <c r="E157" s="2" t="str" cm="1">
        <f t="array" ref="E157:F157">VLOOKUP(A157:B157,Dati!$A$2:$F$251,4,FALSE)</f>
        <v>Diploma di scuola superiore</v>
      </c>
      <c r="F157" s="2" t="e">
        <v>#N/A</v>
      </c>
      <c r="G157" s="2" t="str" cm="1">
        <f t="array" ref="G157:H157">VLOOKUP(A157:B157,Dati!A141:F390,6,FALSE)</f>
        <v>Project Manager</v>
      </c>
      <c r="H157" t="e">
        <v>#N/A</v>
      </c>
    </row>
    <row r="158" spans="1:8" x14ac:dyDescent="0.25">
      <c r="A158" s="3" t="s">
        <v>256</v>
      </c>
      <c r="B158" s="3" t="s">
        <v>257</v>
      </c>
      <c r="C158" s="2" cm="1">
        <f t="array" ref="C158:D158">VLOOKUP(A158:B158,Dati!$A$2:$F$251,3,FALSE)</f>
        <v>40</v>
      </c>
      <c r="D158" s="2" t="e">
        <v>#N/A</v>
      </c>
      <c r="E158" s="2" t="str" cm="1">
        <f t="array" ref="E158:F158">VLOOKUP(A158:B158,Dati!$A$2:$F$251,4,FALSE)</f>
        <v>Master</v>
      </c>
      <c r="F158" s="2" t="e">
        <v>#N/A</v>
      </c>
      <c r="G158" s="2" t="str" cm="1">
        <f t="array" ref="G158:H158">VLOOKUP(A158:B158,Dati!A85:F334,6,FALSE)</f>
        <v>Contabile</v>
      </c>
      <c r="H158" t="e">
        <v>#N/A</v>
      </c>
    </row>
    <row r="159" spans="1:8" x14ac:dyDescent="0.25">
      <c r="A159" s="3" t="s">
        <v>256</v>
      </c>
      <c r="B159" s="3" t="s">
        <v>381</v>
      </c>
      <c r="C159" s="2" cm="1">
        <f t="array" ref="C159:D159">VLOOKUP(A159:B159,Dati!$A$2:$F$251,3,FALSE)</f>
        <v>40</v>
      </c>
      <c r="D159" s="2" t="e">
        <v>#N/A</v>
      </c>
      <c r="E159" s="2" t="str" cm="1">
        <f t="array" ref="E159:F159">VLOOKUP(A159:B159,Dati!$A$2:$F$251,4,FALSE)</f>
        <v>Master</v>
      </c>
      <c r="F159" s="2" t="e">
        <v>#N/A</v>
      </c>
      <c r="G159" s="2" t="str" cm="1">
        <f t="array" ref="G159:H159">VLOOKUP(A159:B159,Dati!A130:F379,6,FALSE)</f>
        <v>Analista dati</v>
      </c>
      <c r="H159" t="e">
        <v>#N/A</v>
      </c>
    </row>
    <row r="160" spans="1:8" x14ac:dyDescent="0.25">
      <c r="A160" s="3" t="s">
        <v>439</v>
      </c>
      <c r="B160" s="3" t="s">
        <v>200</v>
      </c>
      <c r="C160" s="2" cm="1">
        <f t="array" ref="C160:D160">VLOOKUP(A160:B160,Dati!$A$2:$F$251,3,FALSE)</f>
        <v>64</v>
      </c>
      <c r="D160" s="2" t="e">
        <v>#N/A</v>
      </c>
      <c r="E160" s="2" t="str" cm="1">
        <f t="array" ref="E160:F160">VLOOKUP(A160:B160,Dati!$A$2:$F$251,4,FALSE)</f>
        <v>Diploma di scuola superiore</v>
      </c>
      <c r="F160" s="2" t="e">
        <v>#N/A</v>
      </c>
      <c r="G160" s="2" t="str" cm="1">
        <f t="array" ref="G160:H160">VLOOKUP(A160:B160,Dati!A154:F403,6,FALSE)</f>
        <v>Responsabile vendite</v>
      </c>
      <c r="H160" t="e">
        <v>#N/A</v>
      </c>
    </row>
    <row r="161" spans="1:8" x14ac:dyDescent="0.25">
      <c r="A161" s="3" t="s">
        <v>358</v>
      </c>
      <c r="B161" s="3" t="s">
        <v>359</v>
      </c>
      <c r="C161" s="2" cm="1">
        <f t="array" ref="C161:D161">VLOOKUP(A161:B161,Dati!$A$2:$F$251,3,FALSE)</f>
        <v>59</v>
      </c>
      <c r="D161" s="2" t="e">
        <v>#N/A</v>
      </c>
      <c r="E161" s="2" t="str" cm="1">
        <f t="array" ref="E161:F161">VLOOKUP(A161:B161,Dati!$A$2:$F$251,4,FALSE)</f>
        <v>Dottorato di ricerca</v>
      </c>
      <c r="F161" s="2" t="e">
        <v>#N/A</v>
      </c>
      <c r="G161" s="2" t="str" cm="1">
        <f t="array" ref="G161:H161">VLOOKUP(A161:B161,Dati!A121:F370,6,FALSE)</f>
        <v>Marketing Specialist</v>
      </c>
      <c r="H161" t="e">
        <v>#N/A</v>
      </c>
    </row>
    <row r="162" spans="1:8" x14ac:dyDescent="0.25">
      <c r="A162" s="3" t="s">
        <v>293</v>
      </c>
      <c r="B162" s="3" t="s">
        <v>294</v>
      </c>
      <c r="C162" s="2" cm="1">
        <f t="array" ref="C162:D162">VLOOKUP(A162:B162,Dati!$A$2:$F$251,3,FALSE)</f>
        <v>26</v>
      </c>
      <c r="D162" s="2" t="e">
        <v>#N/A</v>
      </c>
      <c r="E162" s="2" t="str" cm="1">
        <f t="array" ref="E162:F162">VLOOKUP(A162:B162,Dati!$A$2:$F$251,4,FALSE)</f>
        <v>Diploma di scuola superiore</v>
      </c>
      <c r="F162" s="2" t="e">
        <v>#N/A</v>
      </c>
      <c r="G162" s="2" t="str" cm="1">
        <f t="array" ref="G162:H162">VLOOKUP(A162:B162,Dati!A98:F347,6,FALSE)</f>
        <v>Responsabile vendite</v>
      </c>
      <c r="H162" t="e">
        <v>#N/A</v>
      </c>
    </row>
    <row r="163" spans="1:8" x14ac:dyDescent="0.25">
      <c r="A163" s="3" t="s">
        <v>293</v>
      </c>
      <c r="B163" s="3" t="s">
        <v>272</v>
      </c>
      <c r="C163" s="2" cm="1">
        <f t="array" ref="C163:D163">VLOOKUP(A163:B163,Dati!$A$2:$F$251,3,FALSE)</f>
        <v>26</v>
      </c>
      <c r="D163" s="2" t="e">
        <v>#N/A</v>
      </c>
      <c r="E163" s="2" t="str" cm="1">
        <f t="array" ref="E163:F163">VLOOKUP(A163:B163,Dati!$A$2:$F$251,4,FALSE)</f>
        <v>Diploma di scuola superiore</v>
      </c>
      <c r="F163" s="2" t="e">
        <v>#N/A</v>
      </c>
      <c r="G163" s="2" t="str" cm="1">
        <f t="array" ref="G163:H163">VLOOKUP(A163:B163,Dati!A129:F378,6,FALSE)</f>
        <v>Direttore risorse umane</v>
      </c>
      <c r="H163" t="e">
        <v>#N/A</v>
      </c>
    </row>
    <row r="164" spans="1:8" x14ac:dyDescent="0.25">
      <c r="A164" s="3" t="s">
        <v>355</v>
      </c>
      <c r="B164" s="3" t="s">
        <v>356</v>
      </c>
      <c r="C164" s="2" cm="1">
        <f t="array" ref="C164:D164">VLOOKUP(A164:B164,Dati!$A$2:$F$251,3,FALSE)</f>
        <v>30</v>
      </c>
      <c r="D164" s="2" t="e">
        <v>#N/A</v>
      </c>
      <c r="E164" s="2" t="str" cm="1">
        <f t="array" ref="E164:F164">VLOOKUP(A164:B164,Dati!$A$2:$F$251,4,FALSE)</f>
        <v>Dottorato di ricerca</v>
      </c>
      <c r="F164" s="2" t="e">
        <v>#N/A</v>
      </c>
      <c r="G164" s="2" t="str" cm="1">
        <f t="array" ref="G164:H164">VLOOKUP(A164:B164,Dati!A120:F369,6,FALSE)</f>
        <v>Tecnico informatico</v>
      </c>
      <c r="H164" t="e">
        <v>#N/A</v>
      </c>
    </row>
    <row r="165" spans="1:8" x14ac:dyDescent="0.25">
      <c r="A165" s="3" t="s">
        <v>184</v>
      </c>
      <c r="B165" s="3" t="s">
        <v>185</v>
      </c>
      <c r="C165" s="2" cm="1">
        <f t="array" ref="C165:D165">VLOOKUP(A165:B165,Dati!$A$2:$F$251,3,FALSE)</f>
        <v>62</v>
      </c>
      <c r="D165" s="2" t="e">
        <v>#N/A</v>
      </c>
      <c r="E165" s="2" t="str" cm="1">
        <f t="array" ref="E165:F165">VLOOKUP(A165:B165,Dati!$A$2:$F$251,4,FALSE)</f>
        <v>Dottorato di ricerca</v>
      </c>
      <c r="F165" s="2" t="e">
        <v>#N/A</v>
      </c>
      <c r="G165" s="2" t="str" cm="1">
        <f t="array" ref="G165:H165">VLOOKUP(A165:B165,Dati!A59:F308,6,FALSE)</f>
        <v>Project Manager</v>
      </c>
      <c r="H165" t="e">
        <v>#N/A</v>
      </c>
    </row>
    <row r="166" spans="1:8" x14ac:dyDescent="0.25">
      <c r="A166" s="3" t="s">
        <v>51</v>
      </c>
      <c r="B166" s="3" t="s">
        <v>52</v>
      </c>
      <c r="C166" s="2" cm="1">
        <f t="array" ref="C166:D166">VLOOKUP(A166:B166,Dati!$A$2:$F$251,3,FALSE)</f>
        <v>54</v>
      </c>
      <c r="D166" s="2" t="e">
        <v>#N/A</v>
      </c>
      <c r="E166" s="2" t="str" cm="1">
        <f t="array" ref="E166:F166">VLOOKUP(A166:B166,Dati!$A$2:$F$251,4,FALSE)</f>
        <v>Diploma di scuola superiore</v>
      </c>
      <c r="F166" s="2" t="e">
        <v>#N/A</v>
      </c>
      <c r="G166" s="2" t="str" cm="1">
        <f t="array" ref="G166:H166">VLOOKUP(A166:B166,Dati!A13:F262,6,FALSE)</f>
        <v>Direttore risorse umane</v>
      </c>
      <c r="H166" t="e">
        <v>#N/A</v>
      </c>
    </row>
    <row r="167" spans="1:8" x14ac:dyDescent="0.25">
      <c r="A167" s="3" t="s">
        <v>51</v>
      </c>
      <c r="B167" s="3" t="s">
        <v>153</v>
      </c>
      <c r="C167" s="2" cm="1">
        <f t="array" ref="C167:D167">VLOOKUP(A167:B167,Dati!$A$2:$F$251,3,FALSE)</f>
        <v>54</v>
      </c>
      <c r="D167" s="2" t="e">
        <v>#N/A</v>
      </c>
      <c r="E167" s="2" t="str" cm="1">
        <f t="array" ref="E167:F167">VLOOKUP(A167:B167,Dati!$A$2:$F$251,4,FALSE)</f>
        <v>Diploma di scuola superiore</v>
      </c>
      <c r="F167" s="2" t="e">
        <v>#N/A</v>
      </c>
      <c r="G167" s="2" t="str" cm="1">
        <f t="array" ref="G167:H167">VLOOKUP(A167:B167,Dati!A47:F296,6,FALSE)</f>
        <v>Addetto logistica</v>
      </c>
      <c r="H167" t="e">
        <v>#N/A</v>
      </c>
    </row>
    <row r="168" spans="1:8" x14ac:dyDescent="0.25">
      <c r="A168" s="3" t="s">
        <v>51</v>
      </c>
      <c r="B168" s="3" t="s">
        <v>233</v>
      </c>
      <c r="C168" s="2" cm="1">
        <f t="array" ref="C168:D168">VLOOKUP(A168:B168,Dati!$A$2:$F$251,3,FALSE)</f>
        <v>54</v>
      </c>
      <c r="D168" s="2" t="e">
        <v>#N/A</v>
      </c>
      <c r="E168" s="2" t="str" cm="1">
        <f t="array" ref="E168:F168">VLOOKUP(A168:B168,Dati!$A$2:$F$251,4,FALSE)</f>
        <v>Diploma di scuola superiore</v>
      </c>
      <c r="F168" s="2" t="e">
        <v>#N/A</v>
      </c>
      <c r="G168" s="2" t="str" cm="1">
        <f t="array" ref="G168:H168">VLOOKUP(A168:B168,Dati!A76:F325,6,FALSE)</f>
        <v>Responsabile vendite</v>
      </c>
      <c r="H168" t="e">
        <v>#N/A</v>
      </c>
    </row>
    <row r="169" spans="1:8" x14ac:dyDescent="0.25">
      <c r="A169" s="3" t="s">
        <v>600</v>
      </c>
      <c r="B169" s="3" t="s">
        <v>601</v>
      </c>
      <c r="C169" s="2" cm="1">
        <f t="array" ref="C169:D169">VLOOKUP(A169:B169,Dati!$A$2:$F$251,3,FALSE)</f>
        <v>21</v>
      </c>
      <c r="D169" s="2" t="e">
        <v>#N/A</v>
      </c>
      <c r="E169" s="2" t="str" cm="1">
        <f t="array" ref="E169:F169">VLOOKUP(A169:B169,Dati!$A$2:$F$251,4,FALSE)</f>
        <v>Laurea triennale</v>
      </c>
      <c r="F169" s="2" t="e">
        <v>#N/A</v>
      </c>
      <c r="G169" s="2" t="str" cm="1">
        <f t="array" ref="G169:H169">VLOOKUP(A169:B169,Dati!A218:F467,6,FALSE)</f>
        <v>Operaio specializzato</v>
      </c>
      <c r="H169" t="e">
        <v>#N/A</v>
      </c>
    </row>
    <row r="170" spans="1:8" x14ac:dyDescent="0.25">
      <c r="A170" s="3" t="s">
        <v>651</v>
      </c>
      <c r="B170" s="3" t="s">
        <v>652</v>
      </c>
      <c r="C170" s="2" cm="1">
        <f t="array" ref="C170:D170">VLOOKUP(A170:B170,Dati!$A$2:$F$251,3,FALSE)</f>
        <v>64</v>
      </c>
      <c r="D170" s="2" t="e">
        <v>#N/A</v>
      </c>
      <c r="E170" s="2" t="str" cm="1">
        <f t="array" ref="E170:F170">VLOOKUP(A170:B170,Dati!$A$2:$F$251,4,FALSE)</f>
        <v>Diploma di scuola superiore</v>
      </c>
      <c r="F170" s="2" t="e">
        <v>#N/A</v>
      </c>
      <c r="G170" s="2" t="str" cm="1">
        <f t="array" ref="G170:H170">VLOOKUP(A170:B170,Dati!A239:F488,6,FALSE)</f>
        <v>Contabile</v>
      </c>
      <c r="H170" t="e">
        <v>#N/A</v>
      </c>
    </row>
    <row r="171" spans="1:8" x14ac:dyDescent="0.25">
      <c r="A171" s="3" t="s">
        <v>66</v>
      </c>
      <c r="B171" s="3" t="s">
        <v>67</v>
      </c>
      <c r="C171" s="2" cm="1">
        <f t="array" ref="C171:D171">VLOOKUP(A171:B171,Dati!$A$2:$F$251,3,FALSE)</f>
        <v>49</v>
      </c>
      <c r="D171" s="2" t="e">
        <v>#N/A</v>
      </c>
      <c r="E171" s="2" t="str" cm="1">
        <f t="array" ref="E171:F171">VLOOKUP(A171:B171,Dati!$A$2:$F$251,4,FALSE)</f>
        <v>Dottorato di ricerca</v>
      </c>
      <c r="F171" s="2" t="e">
        <v>#N/A</v>
      </c>
      <c r="G171" s="2" t="str" cm="1">
        <f t="array" ref="G171:H171">VLOOKUP(A171:B171,Dati!A18:F267,6,FALSE)</f>
        <v>Impiegato amministrativo</v>
      </c>
      <c r="H171" t="e">
        <v>#N/A</v>
      </c>
    </row>
    <row r="172" spans="1:8" x14ac:dyDescent="0.25">
      <c r="A172" s="3" t="s">
        <v>66</v>
      </c>
      <c r="B172" s="3" t="s">
        <v>504</v>
      </c>
      <c r="C172" s="2" cm="1">
        <f t="array" ref="C172:D172">VLOOKUP(A172:B172,Dati!$A$2:$F$251,3,FALSE)</f>
        <v>49</v>
      </c>
      <c r="D172" s="2" t="e">
        <v>#N/A</v>
      </c>
      <c r="E172" s="2" t="str" cm="1">
        <f t="array" ref="E172:F172">VLOOKUP(A172:B172,Dati!$A$2:$F$251,4,FALSE)</f>
        <v>Dottorato di ricerca</v>
      </c>
      <c r="F172" s="2" t="e">
        <v>#N/A</v>
      </c>
      <c r="G172" s="2" t="str" cm="1">
        <f t="array" ref="G172:H172">VLOOKUP(A172:B172,Dati!A180:F429,6,FALSE)</f>
        <v>Addetto logistica</v>
      </c>
      <c r="H172" t="e">
        <v>#N/A</v>
      </c>
    </row>
    <row r="173" spans="1:8" x14ac:dyDescent="0.25">
      <c r="A173" s="3" t="s">
        <v>75</v>
      </c>
      <c r="B173" s="3" t="s">
        <v>76</v>
      </c>
      <c r="C173" s="2" cm="1">
        <f t="array" ref="C173:D173">VLOOKUP(A173:B173,Dati!$A$2:$F$251,3,FALSE)</f>
        <v>26</v>
      </c>
      <c r="D173" s="2" t="e">
        <v>#N/A</v>
      </c>
      <c r="E173" s="2" t="str" cm="1">
        <f t="array" ref="E173:F173">VLOOKUP(A173:B173,Dati!$A$2:$F$251,4,FALSE)</f>
        <v>Laurea triennale</v>
      </c>
      <c r="F173" s="2" t="e">
        <v>#N/A</v>
      </c>
      <c r="G173" s="2" t="str" cm="1">
        <f t="array" ref="G173:H173">VLOOKUP(A173:B173,Dati!A21:F270,6,FALSE)</f>
        <v>Responsabile vendite</v>
      </c>
      <c r="H173" t="e">
        <v>#N/A</v>
      </c>
    </row>
    <row r="174" spans="1:8" x14ac:dyDescent="0.25">
      <c r="A174" s="3" t="s">
        <v>140</v>
      </c>
      <c r="B174" s="3" t="s">
        <v>141</v>
      </c>
      <c r="C174" s="2" cm="1">
        <f t="array" ref="C174:D174">VLOOKUP(A174:B174,Dati!$A$2:$F$251,3,FALSE)</f>
        <v>28</v>
      </c>
      <c r="D174" s="2" t="e">
        <v>#N/A</v>
      </c>
      <c r="E174" s="2" t="str" cm="1">
        <f t="array" ref="E174:F174">VLOOKUP(A174:B174,Dati!$A$2:$F$251,4,FALSE)</f>
        <v>Laurea magistrale</v>
      </c>
      <c r="F174" s="2" t="e">
        <v>#N/A</v>
      </c>
      <c r="G174" s="2" t="str" cm="1">
        <f t="array" ref="G174:H174">VLOOKUP(A174:B174,Dati!A42:F291,6,FALSE)</f>
        <v>Contabile</v>
      </c>
      <c r="H174" t="e">
        <v>#N/A</v>
      </c>
    </row>
    <row r="175" spans="1:8" x14ac:dyDescent="0.25">
      <c r="A175" s="3" t="s">
        <v>101</v>
      </c>
      <c r="B175" s="3" t="s">
        <v>102</v>
      </c>
      <c r="C175" s="2" cm="1">
        <f t="array" ref="C175:D175">VLOOKUP(A175:B175,Dati!$A$2:$F$251,3,FALSE)</f>
        <v>59</v>
      </c>
      <c r="D175" s="2" t="e">
        <v>#N/A</v>
      </c>
      <c r="E175" s="2" t="str" cm="1">
        <f t="array" ref="E175:F175">VLOOKUP(A175:B175,Dati!$A$2:$F$251,4,FALSE)</f>
        <v>Master</v>
      </c>
      <c r="F175" s="2" t="e">
        <v>#N/A</v>
      </c>
      <c r="G175" s="2" t="str" cm="1">
        <f t="array" ref="G175:H175">VLOOKUP(A175:B175,Dati!A30:F279,6,FALSE)</f>
        <v>Impiegato amministrativo</v>
      </c>
      <c r="H175" t="e">
        <v>#N/A</v>
      </c>
    </row>
    <row r="176" spans="1:8" x14ac:dyDescent="0.25">
      <c r="A176" s="3" t="s">
        <v>101</v>
      </c>
      <c r="B176" s="3" t="s">
        <v>516</v>
      </c>
      <c r="C176" s="2" cm="1">
        <f t="array" ref="C176:D176">VLOOKUP(A176:B176,Dati!$A$2:$F$251,3,FALSE)</f>
        <v>59</v>
      </c>
      <c r="D176" s="2" t="e">
        <v>#N/A</v>
      </c>
      <c r="E176" s="2" t="str" cm="1">
        <f t="array" ref="E176:F176">VLOOKUP(A176:B176,Dati!$A$2:$F$251,4,FALSE)</f>
        <v>Master</v>
      </c>
      <c r="F176" s="2" t="e">
        <v>#N/A</v>
      </c>
      <c r="G176" s="2" t="str" cm="1">
        <f t="array" ref="G176:H176">VLOOKUP(A176:B176,Dati!A185:F434,6,FALSE)</f>
        <v>Impiegato amministrativo</v>
      </c>
      <c r="H176" t="e">
        <v>#N/A</v>
      </c>
    </row>
    <row r="177" spans="1:8" x14ac:dyDescent="0.25">
      <c r="A177" s="3" t="s">
        <v>214</v>
      </c>
      <c r="B177" s="3" t="s">
        <v>215</v>
      </c>
      <c r="C177" s="2" cm="1">
        <f t="array" ref="C177:D177">VLOOKUP(A177:B177,Dati!$A$2:$F$251,3,FALSE)</f>
        <v>32</v>
      </c>
      <c r="D177" s="2" t="e">
        <v>#N/A</v>
      </c>
      <c r="E177" s="2" t="str" cm="1">
        <f t="array" ref="E177:F177">VLOOKUP(A177:B177,Dati!$A$2:$F$251,4,FALSE)</f>
        <v>Diploma di scuola superiore</v>
      </c>
      <c r="F177" s="2" t="e">
        <v>#N/A</v>
      </c>
      <c r="G177" s="2" t="str" cm="1">
        <f t="array" ref="G177:H177">VLOOKUP(A177:B177,Dati!A69:F318,6,FALSE)</f>
        <v>Tecnico informatico</v>
      </c>
      <c r="H177" t="e">
        <v>#N/A</v>
      </c>
    </row>
    <row r="178" spans="1:8" x14ac:dyDescent="0.25">
      <c r="A178" s="3" t="s">
        <v>345</v>
      </c>
      <c r="B178" s="3" t="s">
        <v>346</v>
      </c>
      <c r="C178" s="2" cm="1">
        <f t="array" ref="C178:D178">VLOOKUP(A178:B178,Dati!$A$2:$F$251,3,FALSE)</f>
        <v>37</v>
      </c>
      <c r="D178" s="2" t="e">
        <v>#N/A</v>
      </c>
      <c r="E178" s="2" t="str" cm="1">
        <f t="array" ref="E178:F178">VLOOKUP(A178:B178,Dati!$A$2:$F$251,4,FALSE)</f>
        <v>Laurea triennale</v>
      </c>
      <c r="F178" s="2" t="e">
        <v>#N/A</v>
      </c>
      <c r="G178" s="2" t="str" cm="1">
        <f t="array" ref="G178:H178">VLOOKUP(A178:B178,Dati!A116:F365,6,FALSE)</f>
        <v>Addetto logistica</v>
      </c>
      <c r="H178" t="e">
        <v>#N/A</v>
      </c>
    </row>
    <row r="179" spans="1:8" x14ac:dyDescent="0.25">
      <c r="A179" s="3" t="s">
        <v>537</v>
      </c>
      <c r="B179" s="3" t="s">
        <v>538</v>
      </c>
      <c r="C179" s="2" cm="1">
        <f t="array" ref="C179:D179">VLOOKUP(A179:B179,Dati!$A$2:$F$251,3,FALSE)</f>
        <v>30</v>
      </c>
      <c r="D179" s="2" t="e">
        <v>#N/A</v>
      </c>
      <c r="E179" s="2" t="str" cm="1">
        <f t="array" ref="E179:F179">VLOOKUP(A179:B179,Dati!$A$2:$F$251,4,FALSE)</f>
        <v>Diploma di scuola superiore</v>
      </c>
      <c r="F179" s="2" t="e">
        <v>#N/A</v>
      </c>
      <c r="G179" s="2" t="str" cm="1">
        <f t="array" ref="G179:H179">VLOOKUP(A179:B179,Dati!A194:F443,6,FALSE)</f>
        <v>Operaio specializzato</v>
      </c>
      <c r="H179" t="e">
        <v>#N/A</v>
      </c>
    </row>
    <row r="180" spans="1:8" x14ac:dyDescent="0.25">
      <c r="A180" s="3" t="s">
        <v>244</v>
      </c>
      <c r="B180" s="3" t="s">
        <v>245</v>
      </c>
      <c r="C180" s="2" cm="1">
        <f t="array" ref="C180:D180">VLOOKUP(A180:B180,Dati!$A$2:$F$251,3,FALSE)</f>
        <v>54</v>
      </c>
      <c r="D180" s="2" t="e">
        <v>#N/A</v>
      </c>
      <c r="E180" s="2" t="str" cm="1">
        <f t="array" ref="E180:F180">VLOOKUP(A180:B180,Dati!$A$2:$F$251,4,FALSE)</f>
        <v>Diploma di scuola superiore</v>
      </c>
      <c r="F180" s="2" t="e">
        <v>#N/A</v>
      </c>
      <c r="G180" s="2" t="str" cm="1">
        <f t="array" ref="G180:H180">VLOOKUP(A180:B180,Dati!A81:F330,6,FALSE)</f>
        <v>Project Manager</v>
      </c>
      <c r="H180" t="e">
        <v>#N/A</v>
      </c>
    </row>
    <row r="181" spans="1:8" x14ac:dyDescent="0.25">
      <c r="A181" s="3" t="s">
        <v>114</v>
      </c>
      <c r="B181" s="3" t="s">
        <v>115</v>
      </c>
      <c r="C181" s="2" cm="1">
        <f t="array" ref="C181:D181">VLOOKUP(A181:B181,Dati!$A$2:$F$251,3,FALSE)</f>
        <v>62</v>
      </c>
      <c r="D181" s="2" t="e">
        <v>#N/A</v>
      </c>
      <c r="E181" s="2" t="str" cm="1">
        <f t="array" ref="E181:F181">VLOOKUP(A181:B181,Dati!$A$2:$F$251,4,FALSE)</f>
        <v>Laurea magistrale</v>
      </c>
      <c r="F181" s="2" t="e">
        <v>#N/A</v>
      </c>
      <c r="G181" s="2" t="str" cm="1">
        <f t="array" ref="G181:H181">VLOOKUP(A181:B181,Dati!A34:F283,6,FALSE)</f>
        <v>Marketing Specialist</v>
      </c>
      <c r="H181" t="e">
        <v>#N/A</v>
      </c>
    </row>
    <row r="182" spans="1:8" x14ac:dyDescent="0.25">
      <c r="A182" s="3" t="s">
        <v>317</v>
      </c>
      <c r="B182" s="3" t="s">
        <v>318</v>
      </c>
      <c r="C182" s="2" cm="1">
        <f t="array" ref="C182:D182">VLOOKUP(A182:B182,Dati!$A$2:$F$251,3,FALSE)</f>
        <v>35</v>
      </c>
      <c r="D182" s="2" t="e">
        <v>#N/A</v>
      </c>
      <c r="E182" s="2" t="str" cm="1">
        <f t="array" ref="E182:F182">VLOOKUP(A182:B182,Dati!$A$2:$F$251,4,FALSE)</f>
        <v>Diploma di scuola superiore</v>
      </c>
      <c r="F182" s="2" t="e">
        <v>#N/A</v>
      </c>
      <c r="G182" s="2" t="str" cm="1">
        <f t="array" ref="G182:H182">VLOOKUP(A182:B182,Dati!A106:F355,6,FALSE)</f>
        <v>Operaio specializzato</v>
      </c>
      <c r="H182" t="e">
        <v>#N/A</v>
      </c>
    </row>
    <row r="183" spans="1:8" x14ac:dyDescent="0.25">
      <c r="A183" s="3" t="s">
        <v>317</v>
      </c>
      <c r="B183" s="3" t="s">
        <v>398</v>
      </c>
      <c r="C183" s="2" cm="1">
        <f t="array" ref="C183:D183">VLOOKUP(A183:B183,Dati!$A$2:$F$251,3,FALSE)</f>
        <v>35</v>
      </c>
      <c r="D183" s="2" t="e">
        <v>#N/A</v>
      </c>
      <c r="E183" s="2" t="str" cm="1">
        <f t="array" ref="E183:F183">VLOOKUP(A183:B183,Dati!$A$2:$F$251,4,FALSE)</f>
        <v>Diploma di scuola superiore</v>
      </c>
      <c r="F183" s="2" t="e">
        <v>#N/A</v>
      </c>
      <c r="G183" s="2" t="str" cm="1">
        <f t="array" ref="G183:H183">VLOOKUP(A183:B183,Dati!A137:F386,6,FALSE)</f>
        <v>Impiegato amministrativo</v>
      </c>
      <c r="H183" t="e">
        <v>#N/A</v>
      </c>
    </row>
    <row r="184" spans="1:8" x14ac:dyDescent="0.25">
      <c r="A184" s="3" t="s">
        <v>317</v>
      </c>
      <c r="B184" s="3" t="s">
        <v>526</v>
      </c>
      <c r="C184" s="2" cm="1">
        <f t="array" ref="C184:D184">VLOOKUP(A184:B184,Dati!$A$2:$F$251,3,FALSE)</f>
        <v>35</v>
      </c>
      <c r="D184" s="2" t="e">
        <v>#N/A</v>
      </c>
      <c r="E184" s="2" t="str" cm="1">
        <f t="array" ref="E184:F184">VLOOKUP(A184:B184,Dati!$A$2:$F$251,4,FALSE)</f>
        <v>Diploma di scuola superiore</v>
      </c>
      <c r="F184" s="2" t="e">
        <v>#N/A</v>
      </c>
      <c r="G184" s="2" t="str" cm="1">
        <f t="array" ref="G184:H184">VLOOKUP(A184:B184,Dati!A189:F438,6,FALSE)</f>
        <v>Direttore risorse umane</v>
      </c>
      <c r="H184" t="e">
        <v>#N/A</v>
      </c>
    </row>
    <row r="185" spans="1:8" x14ac:dyDescent="0.25">
      <c r="A185" s="3" t="s">
        <v>118</v>
      </c>
      <c r="B185" s="3" t="s">
        <v>119</v>
      </c>
      <c r="C185" s="2" cm="1">
        <f t="array" ref="C185:D185">VLOOKUP(A185:B185,Dati!$A$2:$F$251,3,FALSE)</f>
        <v>25</v>
      </c>
      <c r="D185" s="2" t="e">
        <v>#N/A</v>
      </c>
      <c r="E185" s="2" t="str" cm="1">
        <f t="array" ref="E185:F185">VLOOKUP(A185:B185,Dati!$A$2:$F$251,4,FALSE)</f>
        <v>Dottorato di ricerca</v>
      </c>
      <c r="F185" s="2" t="e">
        <v>#N/A</v>
      </c>
      <c r="G185" s="2" t="str" cm="1">
        <f t="array" ref="G185:H185">VLOOKUP(A185:B185,Dati!A35:F284,6,FALSE)</f>
        <v>Project Manager</v>
      </c>
      <c r="H185" t="e">
        <v>#N/A</v>
      </c>
    </row>
    <row r="186" spans="1:8" x14ac:dyDescent="0.25">
      <c r="A186" s="3" t="s">
        <v>25</v>
      </c>
      <c r="B186" s="3" t="s">
        <v>26</v>
      </c>
      <c r="C186" s="2" cm="1">
        <f t="array" ref="C186:D186">VLOOKUP(A186:B186,Dati!$A$2:$F$251,3,FALSE)</f>
        <v>45</v>
      </c>
      <c r="D186" s="2" t="e">
        <v>#N/A</v>
      </c>
      <c r="E186" s="2" t="str" cm="1">
        <f t="array" ref="E186:F186">VLOOKUP(A186:B186,Dati!$A$2:$F$251,4,FALSE)</f>
        <v>Diploma di scuola superiore</v>
      </c>
      <c r="F186" s="2" t="e">
        <v>#N/A</v>
      </c>
      <c r="G186" s="2" t="str" cm="1">
        <f t="array" ref="G186:H186">VLOOKUP(A186:B186,Dati!A6:F255,6,FALSE)</f>
        <v>Analista dati</v>
      </c>
      <c r="H186" t="e">
        <v>#N/A</v>
      </c>
    </row>
    <row r="187" spans="1:8" x14ac:dyDescent="0.25">
      <c r="A187" s="3" t="s">
        <v>25</v>
      </c>
      <c r="B187" s="3" t="s">
        <v>578</v>
      </c>
      <c r="C187" s="2" cm="1">
        <f t="array" ref="C187:D187">VLOOKUP(A187:B187,Dati!$A$2:$F$251,3,FALSE)</f>
        <v>45</v>
      </c>
      <c r="D187" s="2" t="e">
        <v>#N/A</v>
      </c>
      <c r="E187" s="2" t="str" cm="1">
        <f t="array" ref="E187:F187">VLOOKUP(A187:B187,Dati!$A$2:$F$251,4,FALSE)</f>
        <v>Diploma di scuola superiore</v>
      </c>
      <c r="F187" s="2" t="e">
        <v>#N/A</v>
      </c>
      <c r="G187" s="2" t="str" cm="1">
        <f t="array" ref="G187:H187">VLOOKUP(A187:B187,Dati!A210:F459,6,FALSE)</f>
        <v>Project Manager</v>
      </c>
      <c r="H187" t="e">
        <v>#N/A</v>
      </c>
    </row>
    <row r="188" spans="1:8" x14ac:dyDescent="0.25">
      <c r="A188" s="3" t="s">
        <v>409</v>
      </c>
      <c r="B188" s="3" t="s">
        <v>410</v>
      </c>
      <c r="C188" s="2" cm="1">
        <f t="array" ref="C188:D188">VLOOKUP(A188:B188,Dati!$A$2:$F$251,3,FALSE)</f>
        <v>25</v>
      </c>
      <c r="D188" s="2" t="e">
        <v>#N/A</v>
      </c>
      <c r="E188" s="2" t="str" cm="1">
        <f t="array" ref="E188:F188">VLOOKUP(A188:B188,Dati!$A$2:$F$251,4,FALSE)</f>
        <v>Diploma di scuola superiore</v>
      </c>
      <c r="F188" s="2" t="e">
        <v>#N/A</v>
      </c>
      <c r="G188" s="2" t="str" cm="1">
        <f t="array" ref="G188:H188">VLOOKUP(A188:B188,Dati!A142:F391,6,FALSE)</f>
        <v>Impiegato amministrativo</v>
      </c>
      <c r="H188" t="e">
        <v>#N/A</v>
      </c>
    </row>
    <row r="189" spans="1:8" x14ac:dyDescent="0.25">
      <c r="A189" s="3" t="s">
        <v>409</v>
      </c>
      <c r="B189" s="3" t="s">
        <v>455</v>
      </c>
      <c r="C189" s="2" cm="1">
        <f t="array" ref="C189:D189">VLOOKUP(A189:B189,Dati!$A$2:$F$251,3,FALSE)</f>
        <v>25</v>
      </c>
      <c r="D189" s="2" t="e">
        <v>#N/A</v>
      </c>
      <c r="E189" s="2" t="str" cm="1">
        <f t="array" ref="E189:F189">VLOOKUP(A189:B189,Dati!$A$2:$F$251,4,FALSE)</f>
        <v>Diploma di scuola superiore</v>
      </c>
      <c r="F189" s="2" t="e">
        <v>#N/A</v>
      </c>
      <c r="G189" s="2" t="str" cm="1">
        <f t="array" ref="G189:H189">VLOOKUP(A189:B189,Dati!A161:F410,6,FALSE)</f>
        <v>Impiegato amministrativo</v>
      </c>
      <c r="H189" t="e">
        <v>#N/A</v>
      </c>
    </row>
    <row r="190" spans="1:8" x14ac:dyDescent="0.25">
      <c r="A190" s="3" t="s">
        <v>302</v>
      </c>
      <c r="B190" s="3" t="s">
        <v>303</v>
      </c>
      <c r="C190" s="2" cm="1">
        <f t="array" ref="C190:D190">VLOOKUP(A190:B190,Dati!$A$2:$F$251,3,FALSE)</f>
        <v>65</v>
      </c>
      <c r="D190" s="2" t="e">
        <v>#N/A</v>
      </c>
      <c r="E190" s="2" t="str" cm="1">
        <f t="array" ref="E190:F190">VLOOKUP(A190:B190,Dati!$A$2:$F$251,4,FALSE)</f>
        <v>Diploma di scuola superiore</v>
      </c>
      <c r="F190" s="2" t="e">
        <v>#N/A</v>
      </c>
      <c r="G190" s="2" t="str" cm="1">
        <f t="array" ref="G190:H190">VLOOKUP(A190:B190,Dati!A101:F350,6,FALSE)</f>
        <v>Analista dati</v>
      </c>
      <c r="H190" t="e">
        <v>#N/A</v>
      </c>
    </row>
    <row r="191" spans="1:8" x14ac:dyDescent="0.25">
      <c r="A191" s="3" t="s">
        <v>302</v>
      </c>
      <c r="B191" s="3" t="s">
        <v>340</v>
      </c>
      <c r="C191" s="2" cm="1">
        <f t="array" ref="C191:D191">VLOOKUP(A191:B191,Dati!$A$2:$F$251,3,FALSE)</f>
        <v>65</v>
      </c>
      <c r="D191" s="2" t="e">
        <v>#N/A</v>
      </c>
      <c r="E191" s="2" t="str" cm="1">
        <f t="array" ref="E191:F191">VLOOKUP(A191:B191,Dati!$A$2:$F$251,4,FALSE)</f>
        <v>Diploma di scuola superiore</v>
      </c>
      <c r="F191" s="2" t="e">
        <v>#N/A</v>
      </c>
      <c r="G191" s="2" t="str" cm="1">
        <f t="array" ref="G191:H191">VLOOKUP(A191:B191,Dati!A250:F499,6,FALSE)</f>
        <v>Addetto logistica</v>
      </c>
      <c r="H191" t="e">
        <v>#N/A</v>
      </c>
    </row>
    <row r="192" spans="1:8" x14ac:dyDescent="0.25">
      <c r="A192" s="3" t="s">
        <v>202</v>
      </c>
      <c r="B192" s="3" t="s">
        <v>203</v>
      </c>
      <c r="C192" s="2" cm="1">
        <f t="array" ref="C192:D192">VLOOKUP(A192:B192,Dati!$A$2:$F$251,3,FALSE)</f>
        <v>42</v>
      </c>
      <c r="D192" s="2" t="e">
        <v>#N/A</v>
      </c>
      <c r="E192" s="2" t="str" cm="1">
        <f t="array" ref="E192:F192">VLOOKUP(A192:B192,Dati!$A$2:$F$251,4,FALSE)</f>
        <v>Diploma di scuola superiore</v>
      </c>
      <c r="F192" s="2" t="e">
        <v>#N/A</v>
      </c>
      <c r="G192" s="2" t="str" cm="1">
        <f t="array" ref="G192:H192">VLOOKUP(A192:B192,Dati!A65:F314,6,FALSE)</f>
        <v>Operaio specializzato</v>
      </c>
      <c r="H192" t="e">
        <v>#N/A</v>
      </c>
    </row>
    <row r="193" spans="1:8" x14ac:dyDescent="0.25">
      <c r="A193" s="3" t="s">
        <v>377</v>
      </c>
      <c r="B193" s="3" t="s">
        <v>378</v>
      </c>
      <c r="C193" s="2" cm="1">
        <f t="array" ref="C193:D193">VLOOKUP(A193:B193,Dati!$A$2:$F$251,3,FALSE)</f>
        <v>55</v>
      </c>
      <c r="D193" s="2" t="e">
        <v>#N/A</v>
      </c>
      <c r="E193" s="2" t="str" cm="1">
        <f t="array" ref="E193:F193">VLOOKUP(A193:B193,Dati!$A$2:$F$251,4,FALSE)</f>
        <v>Laurea triennale</v>
      </c>
      <c r="F193" s="2" t="e">
        <v>#N/A</v>
      </c>
      <c r="G193" s="2" t="str" cm="1">
        <f t="array" ref="G193:H193">VLOOKUP(A193:B193,Dati!A128:F377,6,FALSE)</f>
        <v>Tecnico informatico</v>
      </c>
      <c r="H193" t="e">
        <v>#N/A</v>
      </c>
    </row>
    <row r="194" spans="1:8" x14ac:dyDescent="0.25">
      <c r="A194" s="3" t="s">
        <v>111</v>
      </c>
      <c r="B194" s="3" t="s">
        <v>112</v>
      </c>
      <c r="C194" s="2" cm="1">
        <f t="array" ref="C194:D194">VLOOKUP(A194:B194,Dati!$A$2:$F$251,3,FALSE)</f>
        <v>45</v>
      </c>
      <c r="D194" s="2" t="e">
        <v>#N/A</v>
      </c>
      <c r="E194" s="2" t="str" cm="1">
        <f t="array" ref="E194:F194">VLOOKUP(A194:B194,Dati!$A$2:$F$251,4,FALSE)</f>
        <v>Dottorato di ricerca</v>
      </c>
      <c r="F194" s="2" t="e">
        <v>#N/A</v>
      </c>
      <c r="G194" s="2" t="str" cm="1">
        <f t="array" ref="G194:H194">VLOOKUP(A194:B194,Dati!A33:F282,6,FALSE)</f>
        <v>Project Manager</v>
      </c>
      <c r="H194" t="e">
        <v>#N/A</v>
      </c>
    </row>
    <row r="195" spans="1:8" x14ac:dyDescent="0.25">
      <c r="A195" s="3" t="s">
        <v>111</v>
      </c>
      <c r="B195" s="3" t="s">
        <v>485</v>
      </c>
      <c r="C195" s="2" cm="1">
        <f t="array" ref="C195:D195">VLOOKUP(A195:B195,Dati!$A$2:$F$251,3,FALSE)</f>
        <v>45</v>
      </c>
      <c r="D195" s="2" t="e">
        <v>#N/A</v>
      </c>
      <c r="E195" s="2" t="str" cm="1">
        <f t="array" ref="E195:F195">VLOOKUP(A195:B195,Dati!$A$2:$F$251,4,FALSE)</f>
        <v>Dottorato di ricerca</v>
      </c>
      <c r="F195" s="2" t="e">
        <v>#N/A</v>
      </c>
      <c r="G195" s="2" t="str" cm="1">
        <f t="array" ref="G195:H195">VLOOKUP(A195:B195,Dati!A173:F422,6,FALSE)</f>
        <v>Responsabile vendite</v>
      </c>
      <c r="H195" t="e">
        <v>#N/A</v>
      </c>
    </row>
    <row r="196" spans="1:8" x14ac:dyDescent="0.25">
      <c r="A196" s="3" t="s">
        <v>395</v>
      </c>
      <c r="B196" s="3" t="s">
        <v>396</v>
      </c>
      <c r="C196" s="2" cm="1">
        <f t="array" ref="C196:D196">VLOOKUP(A196:B196,Dati!$A$2:$F$251,3,FALSE)</f>
        <v>64</v>
      </c>
      <c r="D196" s="2" t="e">
        <v>#N/A</v>
      </c>
      <c r="E196" s="2" t="str" cm="1">
        <f t="array" ref="E196:F196">VLOOKUP(A196:B196,Dati!$A$2:$F$251,4,FALSE)</f>
        <v>Dottorato di ricerca</v>
      </c>
      <c r="F196" s="2" t="e">
        <v>#N/A</v>
      </c>
      <c r="G196" s="2" t="str" cm="1">
        <f t="array" ref="G196:H196">VLOOKUP(A196:B196,Dati!A136:F385,6,FALSE)</f>
        <v>Marketing Specialist</v>
      </c>
      <c r="H196" t="e">
        <v>#N/A</v>
      </c>
    </row>
    <row r="197" spans="1:8" x14ac:dyDescent="0.25">
      <c r="A197" s="3" t="s">
        <v>416</v>
      </c>
      <c r="B197" s="3" t="s">
        <v>417</v>
      </c>
      <c r="C197" s="2" cm="1">
        <f t="array" ref="C197:D197">VLOOKUP(A197:B197,Dati!$A$2:$F$251,3,FALSE)</f>
        <v>39</v>
      </c>
      <c r="D197" s="2" t="e">
        <v>#N/A</v>
      </c>
      <c r="E197" s="2" t="str" cm="1">
        <f t="array" ref="E197:F197">VLOOKUP(A197:B197,Dati!$A$2:$F$251,4,FALSE)</f>
        <v>Dottorato di ricerca</v>
      </c>
      <c r="F197" s="2" t="e">
        <v>#N/A</v>
      </c>
      <c r="G197" s="2" t="str" cm="1">
        <f t="array" ref="G197:H197">VLOOKUP(A197:B197,Dati!A145:F394,6,FALSE)</f>
        <v>Contabile</v>
      </c>
      <c r="H197" t="e">
        <v>#N/A</v>
      </c>
    </row>
    <row r="198" spans="1:8" x14ac:dyDescent="0.25">
      <c r="A198" s="3" t="s">
        <v>87</v>
      </c>
      <c r="B198" s="3" t="s">
        <v>61</v>
      </c>
      <c r="C198" s="2" cm="1">
        <f t="array" ref="C198:D198">VLOOKUP(A198:B198,Dati!$A$2:$F$251,3,FALSE)</f>
        <v>57</v>
      </c>
      <c r="D198" s="2" t="e">
        <v>#N/A</v>
      </c>
      <c r="E198" s="2" t="str" cm="1">
        <f t="array" ref="E198:F198">VLOOKUP(A198:B198,Dati!$A$2:$F$251,4,FALSE)</f>
        <v>Dottorato di ricerca</v>
      </c>
      <c r="F198" s="2" t="e">
        <v>#N/A</v>
      </c>
      <c r="G198" s="2" t="str" cm="1">
        <f t="array" ref="G198:H198">VLOOKUP(A198:B198,Dati!A25:F274,6,FALSE)</f>
        <v>Analista dati</v>
      </c>
      <c r="H198" t="e">
        <v>#N/A</v>
      </c>
    </row>
    <row r="199" spans="1:8" x14ac:dyDescent="0.25">
      <c r="A199" s="3" t="s">
        <v>87</v>
      </c>
      <c r="B199" s="3" t="s">
        <v>618</v>
      </c>
      <c r="C199" s="2" cm="1">
        <f t="array" ref="C199:D199">VLOOKUP(A199:B199,Dati!$A$2:$F$251,3,FALSE)</f>
        <v>57</v>
      </c>
      <c r="D199" s="2" t="e">
        <v>#N/A</v>
      </c>
      <c r="E199" s="2" t="str" cm="1">
        <f t="array" ref="E199:F199">VLOOKUP(A199:B199,Dati!$A$2:$F$251,4,FALSE)</f>
        <v>Dottorato di ricerca</v>
      </c>
      <c r="F199" s="2" t="e">
        <v>#N/A</v>
      </c>
      <c r="G199" s="2" t="str" cm="1">
        <f t="array" ref="G199:H199">VLOOKUP(A199:B199,Dati!A225:F474,6,FALSE)</f>
        <v>Tecnico informatico</v>
      </c>
      <c r="H199" t="e">
        <v>#N/A</v>
      </c>
    </row>
    <row r="200" spans="1:8" x14ac:dyDescent="0.25">
      <c r="A200" s="3" t="s">
        <v>353</v>
      </c>
      <c r="B200" s="3" t="s">
        <v>269</v>
      </c>
      <c r="C200" s="2" cm="1">
        <f t="array" ref="C200:D200">VLOOKUP(A200:B200,Dati!$A$2:$F$251,3,FALSE)</f>
        <v>42</v>
      </c>
      <c r="D200" s="2" t="e">
        <v>#N/A</v>
      </c>
      <c r="E200" s="2" t="str" cm="1">
        <f t="array" ref="E200:F200">VLOOKUP(A200:B200,Dati!$A$2:$F$251,4,FALSE)</f>
        <v>Laurea magistrale</v>
      </c>
      <c r="F200" s="2" t="e">
        <v>#N/A</v>
      </c>
      <c r="G200" s="2" t="str" cm="1">
        <f t="array" ref="G200:H200">VLOOKUP(A200:B200,Dati!A119:F368,6,FALSE)</f>
        <v>Responsabile vendite</v>
      </c>
      <c r="H200" t="e">
        <v>#N/A</v>
      </c>
    </row>
    <row r="201" spans="1:8" x14ac:dyDescent="0.25">
      <c r="A201" s="3" t="s">
        <v>353</v>
      </c>
      <c r="B201" s="3" t="s">
        <v>343</v>
      </c>
      <c r="C201" s="2" cm="1">
        <f t="array" ref="C201:D201">VLOOKUP(A201:B201,Dati!$A$2:$F$251,3,FALSE)</f>
        <v>42</v>
      </c>
      <c r="D201" s="2" t="e">
        <v>#N/A</v>
      </c>
      <c r="E201" s="2" t="str" cm="1">
        <f t="array" ref="E201:F201">VLOOKUP(A201:B201,Dati!$A$2:$F$251,4,FALSE)</f>
        <v>Laurea magistrale</v>
      </c>
      <c r="F201" s="2" t="e">
        <v>#N/A</v>
      </c>
      <c r="G201" s="2" t="str" cm="1">
        <f t="array" ref="G201:H201">VLOOKUP(A201:B201,Dati!A153:F402,6,FALSE)</f>
        <v>Addetto logistica</v>
      </c>
      <c r="H201" t="e">
        <v>#N/A</v>
      </c>
    </row>
    <row r="202" spans="1:8" x14ac:dyDescent="0.25">
      <c r="A202" s="3" t="s">
        <v>353</v>
      </c>
      <c r="B202" s="3" t="s">
        <v>468</v>
      </c>
      <c r="C202" s="2" cm="1">
        <f t="array" ref="C202:D202">VLOOKUP(A202:B202,Dati!$A$2:$F$251,3,FALSE)</f>
        <v>42</v>
      </c>
      <c r="D202" s="2" t="e">
        <v>#N/A</v>
      </c>
      <c r="E202" s="2" t="str" cm="1">
        <f t="array" ref="E202:F202">VLOOKUP(A202:B202,Dati!$A$2:$F$251,4,FALSE)</f>
        <v>Laurea magistrale</v>
      </c>
      <c r="F202" s="2" t="e">
        <v>#N/A</v>
      </c>
      <c r="G202" s="2" t="str" cm="1">
        <f t="array" ref="G202:H202">VLOOKUP(A202:B202,Dati!A166:F415,6,FALSE)</f>
        <v>Operaio specializzato</v>
      </c>
      <c r="H202" t="e">
        <v>#N/A</v>
      </c>
    </row>
    <row r="203" spans="1:8" x14ac:dyDescent="0.25">
      <c r="A203" s="3" t="s">
        <v>353</v>
      </c>
      <c r="B203" s="3" t="s">
        <v>556</v>
      </c>
      <c r="C203" s="2" cm="1">
        <f t="array" ref="C203:D203">VLOOKUP(A203:B203,Dati!$A$2:$F$251,3,FALSE)</f>
        <v>42</v>
      </c>
      <c r="D203" s="2" t="e">
        <v>#N/A</v>
      </c>
      <c r="E203" s="2" t="str" cm="1">
        <f t="array" ref="E203:F203">VLOOKUP(A203:B203,Dati!$A$2:$F$251,4,FALSE)</f>
        <v>Laurea magistrale</v>
      </c>
      <c r="F203" s="2" t="e">
        <v>#N/A</v>
      </c>
      <c r="G203" s="2" t="str" cm="1">
        <f t="array" ref="G203:H203">VLOOKUP(A203:B203,Dati!A201:F450,6,FALSE)</f>
        <v>Marketing Specialist</v>
      </c>
      <c r="H203" t="e">
        <v>#N/A</v>
      </c>
    </row>
    <row r="204" spans="1:8" x14ac:dyDescent="0.25">
      <c r="A204" s="3" t="s">
        <v>580</v>
      </c>
      <c r="B204" s="3" t="s">
        <v>581</v>
      </c>
      <c r="C204" s="2" cm="1">
        <f t="array" ref="C204:D204">VLOOKUP(A204:B204,Dati!$A$2:$F$251,3,FALSE)</f>
        <v>56</v>
      </c>
      <c r="D204" s="2" t="e">
        <v>#N/A</v>
      </c>
      <c r="E204" s="2" t="str" cm="1">
        <f t="array" ref="E204:F204">VLOOKUP(A204:B204,Dati!$A$2:$F$251,4,FALSE)</f>
        <v>Laurea triennale</v>
      </c>
      <c r="F204" s="2" t="e">
        <v>#N/A</v>
      </c>
      <c r="G204" s="2" t="str" cm="1">
        <f t="array" ref="G204:H204">VLOOKUP(A204:B204,Dati!A211:F460,6,FALSE)</f>
        <v>Marketing Specialist</v>
      </c>
      <c r="H204" t="e">
        <v>#N/A</v>
      </c>
    </row>
    <row r="205" spans="1:8" x14ac:dyDescent="0.25">
      <c r="A205" s="3" t="s">
        <v>534</v>
      </c>
      <c r="B205" s="3" t="s">
        <v>535</v>
      </c>
      <c r="C205" s="2" cm="1">
        <f t="array" ref="C205:D205">VLOOKUP(A205:B205,Dati!$A$2:$F$251,3,FALSE)</f>
        <v>33</v>
      </c>
      <c r="D205" s="2" t="e">
        <v>#N/A</v>
      </c>
      <c r="E205" s="2" t="str" cm="1">
        <f t="array" ref="E205:F205">VLOOKUP(A205:B205,Dati!$A$2:$F$251,4,FALSE)</f>
        <v>Diploma di scuola superiore</v>
      </c>
      <c r="F205" s="2" t="e">
        <v>#N/A</v>
      </c>
      <c r="G205" s="2" t="str" cm="1">
        <f t="array" ref="G205:H205">VLOOKUP(A205:B205,Dati!A193:F442,6,FALSE)</f>
        <v>Responsabile vendite</v>
      </c>
      <c r="H205" t="e">
        <v>#N/A</v>
      </c>
    </row>
    <row r="206" spans="1:8" x14ac:dyDescent="0.25">
      <c r="A206" s="3" t="s">
        <v>227</v>
      </c>
      <c r="B206" s="3" t="s">
        <v>228</v>
      </c>
      <c r="C206" s="2" cm="1">
        <f t="array" ref="C206:D206">VLOOKUP(A206:B206,Dati!$A$2:$F$251,3,FALSE)</f>
        <v>36</v>
      </c>
      <c r="D206" s="2" t="e">
        <v>#N/A</v>
      </c>
      <c r="E206" s="2" t="str" cm="1">
        <f t="array" ref="E206:F206">VLOOKUP(A206:B206,Dati!$A$2:$F$251,4,FALSE)</f>
        <v>Laurea magistrale</v>
      </c>
      <c r="F206" s="2" t="e">
        <v>#N/A</v>
      </c>
      <c r="G206" s="2" t="str" cm="1">
        <f t="array" ref="G206:H206">VLOOKUP(A206:B206,Dati!A74:F323,6,FALSE)</f>
        <v>Tecnico informatico</v>
      </c>
      <c r="H206" t="e">
        <v>#N/A</v>
      </c>
    </row>
    <row r="207" spans="1:8" x14ac:dyDescent="0.25">
      <c r="A207" s="3" t="s">
        <v>271</v>
      </c>
      <c r="B207" s="3" t="s">
        <v>272</v>
      </c>
      <c r="C207" s="2" cm="1">
        <f t="array" ref="C207:D207">VLOOKUP(A207:B207,Dati!$A$2:$F$251,3,FALSE)</f>
        <v>65</v>
      </c>
      <c r="D207" s="2" t="e">
        <v>#N/A</v>
      </c>
      <c r="E207" s="2" t="str" cm="1">
        <f t="array" ref="E207:F207">VLOOKUP(A207:B207,Dati!$A$2:$F$251,4,FALSE)</f>
        <v>Master</v>
      </c>
      <c r="F207" s="2" t="e">
        <v>#N/A</v>
      </c>
      <c r="G207" s="2" t="str" cm="1">
        <f t="array" ref="G207:H207">VLOOKUP(A207:B207,Dati!A90:F339,6,FALSE)</f>
        <v>Tecnico informatico</v>
      </c>
      <c r="H207" t="e">
        <v>#N/A</v>
      </c>
    </row>
    <row r="208" spans="1:8" x14ac:dyDescent="0.25">
      <c r="A208" s="3" t="s">
        <v>271</v>
      </c>
      <c r="B208" s="3" t="s">
        <v>444</v>
      </c>
      <c r="C208" s="2" cm="1">
        <f t="array" ref="C208:D208">VLOOKUP(A208:B208,Dati!$A$2:$F$251,3,FALSE)</f>
        <v>65</v>
      </c>
      <c r="D208" s="2" t="e">
        <v>#N/A</v>
      </c>
      <c r="E208" s="2" t="str" cm="1">
        <f t="array" ref="E208:F208">VLOOKUP(A208:B208,Dati!$A$2:$F$251,4,FALSE)</f>
        <v>Master</v>
      </c>
      <c r="F208" s="2" t="e">
        <v>#N/A</v>
      </c>
      <c r="G208" s="2" t="str" cm="1">
        <f t="array" ref="G208:H208">VLOOKUP(A208:B208,Dati!A156:F405,6,FALSE)</f>
        <v>Marketing Specialist</v>
      </c>
      <c r="H208" t="e">
        <v>#N/A</v>
      </c>
    </row>
    <row r="209" spans="1:8" x14ac:dyDescent="0.25">
      <c r="A209" s="3" t="s">
        <v>513</v>
      </c>
      <c r="B209" s="3" t="s">
        <v>514</v>
      </c>
      <c r="C209" s="2" cm="1">
        <f t="array" ref="C209:D209">VLOOKUP(A209:B209,Dati!$A$2:$F$251,3,FALSE)</f>
        <v>22</v>
      </c>
      <c r="D209" s="2" t="e">
        <v>#N/A</v>
      </c>
      <c r="E209" s="2" t="str" cm="1">
        <f t="array" ref="E209:F209">VLOOKUP(A209:B209,Dati!$A$2:$F$251,4,FALSE)</f>
        <v>Dottorato di ricerca</v>
      </c>
      <c r="F209" s="2" t="e">
        <v>#N/A</v>
      </c>
      <c r="G209" s="2" t="str" cm="1">
        <f t="array" ref="G209:H209">VLOOKUP(A209:B209,Dati!A184:F433,6,FALSE)</f>
        <v>Direttore risorse umane</v>
      </c>
      <c r="H209" t="e">
        <v>#N/A</v>
      </c>
    </row>
    <row r="210" spans="1:8" x14ac:dyDescent="0.25">
      <c r="A210" s="3" t="s">
        <v>513</v>
      </c>
      <c r="B210" s="3" t="s">
        <v>667</v>
      </c>
      <c r="C210" s="2" cm="1">
        <f t="array" ref="C210:D210">VLOOKUP(A210:B210,Dati!$A$2:$F$251,3,FALSE)</f>
        <v>22</v>
      </c>
      <c r="D210" s="2" t="e">
        <v>#N/A</v>
      </c>
      <c r="E210" s="2" t="str" cm="1">
        <f t="array" ref="E210:F210">VLOOKUP(A210:B210,Dati!$A$2:$F$251,4,FALSE)</f>
        <v>Dottorato di ricerca</v>
      </c>
      <c r="F210" s="2" t="e">
        <v>#N/A</v>
      </c>
      <c r="G210" s="2" t="str" cm="1">
        <f t="array" ref="G210:H210">VLOOKUP(A210:B210,Dati!A246:F495,6,FALSE)</f>
        <v>Responsabile vendite</v>
      </c>
      <c r="H210" t="e">
        <v>#N/A</v>
      </c>
    </row>
    <row r="211" spans="1:8" x14ac:dyDescent="0.25">
      <c r="A211" s="3" t="s">
        <v>672</v>
      </c>
      <c r="B211" s="3" t="s">
        <v>673</v>
      </c>
      <c r="C211" s="2" cm="1">
        <f t="array" ref="C211:D211">VLOOKUP(A211:B211,Dati!$A$2:$F$251,3,FALSE)</f>
        <v>41</v>
      </c>
      <c r="D211" s="2" t="e">
        <v>#N/A</v>
      </c>
      <c r="E211" s="2" t="str" cm="1">
        <f t="array" ref="E211:F211">VLOOKUP(A211:B211,Dati!$A$2:$F$251,4,FALSE)</f>
        <v>Diploma di scuola superiore</v>
      </c>
      <c r="F211" s="2" t="e">
        <v>#N/A</v>
      </c>
      <c r="G211" s="2" t="str" cm="1">
        <f t="array" ref="G211:H211">VLOOKUP(A211:B211,Dati!A248:F497,6,FALSE)</f>
        <v>Project Manager</v>
      </c>
      <c r="H211" t="e">
        <v>#N/A</v>
      </c>
    </row>
    <row r="212" spans="1:8" x14ac:dyDescent="0.25">
      <c r="A212" s="3" t="s">
        <v>148</v>
      </c>
      <c r="B212" s="3" t="s">
        <v>149</v>
      </c>
      <c r="C212" s="2" cm="1">
        <f t="array" ref="C212:D212">VLOOKUP(A212:B212,Dati!$A$2:$F$251,3,FALSE)</f>
        <v>57</v>
      </c>
      <c r="D212" s="2" t="e">
        <v>#N/A</v>
      </c>
      <c r="E212" s="2" t="str" cm="1">
        <f t="array" ref="E212:F212">VLOOKUP(A212:B212,Dati!$A$2:$F$251,4,FALSE)</f>
        <v>Master</v>
      </c>
      <c r="F212" s="2" t="e">
        <v>#N/A</v>
      </c>
      <c r="G212" s="2" t="str" cm="1">
        <f t="array" ref="G212:H212">VLOOKUP(A212:B212,Dati!A45:F294,6,FALSE)</f>
        <v>Responsabile vendite</v>
      </c>
      <c r="H212" t="e">
        <v>#N/A</v>
      </c>
    </row>
    <row r="213" spans="1:8" x14ac:dyDescent="0.25">
      <c r="A213" s="3" t="s">
        <v>540</v>
      </c>
      <c r="B213" s="3" t="s">
        <v>541</v>
      </c>
      <c r="C213" s="2" cm="1">
        <f t="array" ref="C213:D213">VLOOKUP(A213:B213,Dati!$A$2:$F$251,3,FALSE)</f>
        <v>51</v>
      </c>
      <c r="D213" s="2" t="e">
        <v>#N/A</v>
      </c>
      <c r="E213" s="2" t="str" cm="1">
        <f t="array" ref="E213:F213">VLOOKUP(A213:B213,Dati!$A$2:$F$251,4,FALSE)</f>
        <v>Master</v>
      </c>
      <c r="F213" s="2" t="e">
        <v>#N/A</v>
      </c>
      <c r="G213" s="2" t="str" cm="1">
        <f t="array" ref="G213:H213">VLOOKUP(A213:B213,Dati!A195:F444,6,FALSE)</f>
        <v>Addetto logistica</v>
      </c>
      <c r="H213" t="e">
        <v>#N/A</v>
      </c>
    </row>
    <row r="214" spans="1:8" x14ac:dyDescent="0.25">
      <c r="A214" s="3" t="s">
        <v>421</v>
      </c>
      <c r="B214" s="3" t="s">
        <v>422</v>
      </c>
      <c r="C214" s="2" cm="1">
        <f t="array" ref="C214:D214">VLOOKUP(A214:B214,Dati!$A$2:$F$251,3,FALSE)</f>
        <v>34</v>
      </c>
      <c r="D214" s="2" t="e">
        <v>#N/A</v>
      </c>
      <c r="E214" s="2" t="str" cm="1">
        <f t="array" ref="E214:F214">VLOOKUP(A214:B214,Dati!$A$2:$F$251,4,FALSE)</f>
        <v>Laurea magistrale</v>
      </c>
      <c r="F214" s="2" t="e">
        <v>#N/A</v>
      </c>
      <c r="G214" s="2" t="str" cm="1">
        <f t="array" ref="G214:H214">VLOOKUP(A214:B214,Dati!A147:F396,6,FALSE)</f>
        <v>Contabile</v>
      </c>
      <c r="H214" t="e">
        <v>#N/A</v>
      </c>
    </row>
    <row r="215" spans="1:8" x14ac:dyDescent="0.25">
      <c r="A215" s="3" t="s">
        <v>205</v>
      </c>
      <c r="B215" s="3" t="s">
        <v>206</v>
      </c>
      <c r="C215" s="2" cm="1">
        <f t="array" ref="C215:D215">VLOOKUP(A215:B215,Dati!$A$2:$F$251,3,FALSE)</f>
        <v>36</v>
      </c>
      <c r="D215" s="2" t="e">
        <v>#N/A</v>
      </c>
      <c r="E215" s="2" t="str" cm="1">
        <f t="array" ref="E215:F215">VLOOKUP(A215:B215,Dati!$A$2:$F$251,4,FALSE)</f>
        <v>Laurea magistrale</v>
      </c>
      <c r="F215" s="2" t="e">
        <v>#N/A</v>
      </c>
      <c r="G215" s="2" t="str" cm="1">
        <f t="array" ref="G215:H215">VLOOKUP(A215:B215,Dati!A66:F315,6,FALSE)</f>
        <v>Responsabile vendite</v>
      </c>
      <c r="H215" t="e">
        <v>#N/A</v>
      </c>
    </row>
    <row r="216" spans="1:8" x14ac:dyDescent="0.25">
      <c r="A216" s="3" t="s">
        <v>205</v>
      </c>
      <c r="B216" s="3" t="s">
        <v>239</v>
      </c>
      <c r="C216" s="2" cm="1">
        <f t="array" ref="C216:D216">VLOOKUP(A216:B216,Dati!$A$2:$F$251,3,FALSE)</f>
        <v>36</v>
      </c>
      <c r="D216" s="2" t="e">
        <v>#N/A</v>
      </c>
      <c r="E216" s="2" t="str" cm="1">
        <f t="array" ref="E216:F216">VLOOKUP(A216:B216,Dati!$A$2:$F$251,4,FALSE)</f>
        <v>Laurea magistrale</v>
      </c>
      <c r="F216" s="2" t="e">
        <v>#N/A</v>
      </c>
      <c r="G216" s="2" t="str" cm="1">
        <f t="array" ref="G216:H216">VLOOKUP(A216:B216,Dati!A79:F328,6,FALSE)</f>
        <v>Operaio specializzato</v>
      </c>
      <c r="H216" t="e">
        <v>#N/A</v>
      </c>
    </row>
    <row r="217" spans="1:8" x14ac:dyDescent="0.25">
      <c r="A217" s="3" t="s">
        <v>205</v>
      </c>
      <c r="B217" s="3" t="s">
        <v>122</v>
      </c>
      <c r="C217" s="2" cm="1">
        <f t="array" ref="C217:D217">VLOOKUP(A217:B217,Dati!$A$2:$F$251,3,FALSE)</f>
        <v>36</v>
      </c>
      <c r="D217" s="2" t="e">
        <v>#N/A</v>
      </c>
      <c r="E217" s="2" t="str" cm="1">
        <f t="array" ref="E217:F217">VLOOKUP(A217:B217,Dati!$A$2:$F$251,4,FALSE)</f>
        <v>Laurea magistrale</v>
      </c>
      <c r="F217" s="2" t="e">
        <v>#N/A</v>
      </c>
      <c r="G217" s="2" t="str" cm="1">
        <f t="array" ref="G217:H217">VLOOKUP(A217:B217,Dati!A135:F384,6,FALSE)</f>
        <v>Operaio specializzato</v>
      </c>
      <c r="H217" t="e">
        <v>#N/A</v>
      </c>
    </row>
    <row r="218" spans="1:8" x14ac:dyDescent="0.25">
      <c r="A218" s="3" t="s">
        <v>400</v>
      </c>
      <c r="B218" s="3" t="s">
        <v>401</v>
      </c>
      <c r="C218" s="2" cm="1">
        <f t="array" ref="C218:D218">VLOOKUP(A218:B218,Dati!$A$2:$F$251,3,FALSE)</f>
        <v>33</v>
      </c>
      <c r="D218" s="2" t="e">
        <v>#N/A</v>
      </c>
      <c r="E218" s="2" t="str" cm="1">
        <f t="array" ref="E218:F218">VLOOKUP(A218:B218,Dati!$A$2:$F$251,4,FALSE)</f>
        <v>Diploma di scuola superiore</v>
      </c>
      <c r="F218" s="2" t="e">
        <v>#N/A</v>
      </c>
      <c r="G218" s="2" t="str" cm="1">
        <f t="array" ref="G218:H218">VLOOKUP(A218:B218,Dati!A138:F387,6,FALSE)</f>
        <v>Project Manager</v>
      </c>
      <c r="H218" t="e">
        <v>#N/A</v>
      </c>
    </row>
    <row r="219" spans="1:8" x14ac:dyDescent="0.25">
      <c r="A219" s="3" t="s">
        <v>262</v>
      </c>
      <c r="B219" s="3" t="s">
        <v>263</v>
      </c>
      <c r="C219" s="2" cm="1">
        <f t="array" ref="C219:D219">VLOOKUP(A219:B219,Dati!$A$2:$F$251,3,FALSE)</f>
        <v>52</v>
      </c>
      <c r="D219" s="2" t="e">
        <v>#N/A</v>
      </c>
      <c r="E219" s="2" t="str" cm="1">
        <f t="array" ref="E219:F219">VLOOKUP(A219:B219,Dati!$A$2:$F$251,4,FALSE)</f>
        <v>Diploma di scuola superiore</v>
      </c>
      <c r="F219" s="2" t="e">
        <v>#N/A</v>
      </c>
      <c r="G219" s="2" t="str" cm="1">
        <f t="array" ref="G219:H219">VLOOKUP(A219:B219,Dati!A87:F336,6,FALSE)</f>
        <v>Direttore risorse umane</v>
      </c>
      <c r="H219" t="e">
        <v>#N/A</v>
      </c>
    </row>
    <row r="220" spans="1:8" x14ac:dyDescent="0.25">
      <c r="A220" s="3" t="s">
        <v>121</v>
      </c>
      <c r="B220" s="3" t="s">
        <v>122</v>
      </c>
      <c r="C220" s="2" cm="1">
        <f t="array" ref="C220:D220">VLOOKUP(A220:B220,Dati!$A$2:$F$251,3,FALSE)</f>
        <v>22</v>
      </c>
      <c r="D220" s="2" t="e">
        <v>#N/A</v>
      </c>
      <c r="E220" s="2" t="str" cm="1">
        <f t="array" ref="E220:F220">VLOOKUP(A220:B220,Dati!$A$2:$F$251,4,FALSE)</f>
        <v>Laurea triennale</v>
      </c>
      <c r="F220" s="2" t="e">
        <v>#N/A</v>
      </c>
      <c r="G220" s="2" t="str" cm="1">
        <f t="array" ref="G220:H220">VLOOKUP(A220:B220,Dati!A36:F285,6,FALSE)</f>
        <v>Impiegato amministrativo</v>
      </c>
      <c r="H220" t="e">
        <v>#N/A</v>
      </c>
    </row>
    <row r="221" spans="1:8" x14ac:dyDescent="0.25">
      <c r="A221" s="3" t="s">
        <v>547</v>
      </c>
      <c r="B221" s="3" t="s">
        <v>548</v>
      </c>
      <c r="C221" s="2" cm="1">
        <f t="array" ref="C221:D221">VLOOKUP(A221:B221,Dati!$A$2:$F$251,3,FALSE)</f>
        <v>33</v>
      </c>
      <c r="D221" s="2" t="e">
        <v>#N/A</v>
      </c>
      <c r="E221" s="2" t="str" cm="1">
        <f t="array" ref="E221:F221">VLOOKUP(A221:B221,Dati!$A$2:$F$251,4,FALSE)</f>
        <v>Laurea triennale</v>
      </c>
      <c r="F221" s="2" t="e">
        <v>#N/A</v>
      </c>
      <c r="G221" s="2" t="str" cm="1">
        <f t="array" ref="G221:H221">VLOOKUP(A221:B221,Dati!A198:F447,6,FALSE)</f>
        <v>Contabile</v>
      </c>
      <c r="H221" t="e">
        <v>#N/A</v>
      </c>
    </row>
    <row r="222" spans="1:8" x14ac:dyDescent="0.25">
      <c r="A222" s="3" t="s">
        <v>60</v>
      </c>
      <c r="B222" s="3" t="s">
        <v>61</v>
      </c>
      <c r="C222" s="2" cm="1">
        <f t="array" ref="C222:D222">VLOOKUP(A222:B222,Dati!$A$2:$F$251,3,FALSE)</f>
        <v>29</v>
      </c>
      <c r="D222" s="2" t="e">
        <v>#N/A</v>
      </c>
      <c r="E222" s="2" t="str" cm="1">
        <f t="array" ref="E222:F222">VLOOKUP(A222:B222,Dati!$A$2:$F$251,4,FALSE)</f>
        <v>Diploma di scuola superiore</v>
      </c>
      <c r="F222" s="2" t="e">
        <v>#N/A</v>
      </c>
      <c r="G222" s="2" t="str" cm="1">
        <f t="array" ref="G222:H222">VLOOKUP(A222:B222,Dati!A16:F265,6,FALSE)</f>
        <v>Analista dati</v>
      </c>
      <c r="H222" t="e">
        <v>#N/A</v>
      </c>
    </row>
    <row r="223" spans="1:8" x14ac:dyDescent="0.25">
      <c r="A223" s="3" t="s">
        <v>60</v>
      </c>
      <c r="B223" s="3" t="s">
        <v>446</v>
      </c>
      <c r="C223" s="2" cm="1">
        <f t="array" ref="C223:D223">VLOOKUP(A223:B223,Dati!$A$2:$F$251,3,FALSE)</f>
        <v>29</v>
      </c>
      <c r="D223" s="2" t="e">
        <v>#N/A</v>
      </c>
      <c r="E223" s="2" t="str" cm="1">
        <f t="array" ref="E223:F223">VLOOKUP(A223:B223,Dati!$A$2:$F$251,4,FALSE)</f>
        <v>Diploma di scuola superiore</v>
      </c>
      <c r="F223" s="2" t="e">
        <v>#N/A</v>
      </c>
      <c r="G223" s="2" t="str" cm="1">
        <f t="array" ref="G223:H223">VLOOKUP(A223:B223,Dati!A157:F406,6,FALSE)</f>
        <v>Analista dati</v>
      </c>
      <c r="H223" t="e">
        <v>#N/A</v>
      </c>
    </row>
    <row r="224" spans="1:8" x14ac:dyDescent="0.25">
      <c r="A224" s="3" t="s">
        <v>60</v>
      </c>
      <c r="B224" s="3" t="s">
        <v>451</v>
      </c>
      <c r="C224" s="2" cm="1">
        <f t="array" ref="C224:D224">VLOOKUP(A224:B224,Dati!$A$2:$F$251,3,FALSE)</f>
        <v>29</v>
      </c>
      <c r="D224" s="2" t="e">
        <v>#N/A</v>
      </c>
      <c r="E224" s="2" t="str" cm="1">
        <f t="array" ref="E224:F224">VLOOKUP(A224:B224,Dati!$A$2:$F$251,4,FALSE)</f>
        <v>Diploma di scuola superiore</v>
      </c>
      <c r="F224" s="2" t="e">
        <v>#N/A</v>
      </c>
      <c r="G224" s="2" t="str" cm="1">
        <f t="array" ref="G224:H224">VLOOKUP(A224:B224,Dati!A159:F408,6,FALSE)</f>
        <v>Operaio specializzato</v>
      </c>
      <c r="H224" t="e">
        <v>#N/A</v>
      </c>
    </row>
    <row r="225" spans="1:8" x14ac:dyDescent="0.25">
      <c r="A225" s="3" t="s">
        <v>60</v>
      </c>
      <c r="B225" s="3" t="s">
        <v>470</v>
      </c>
      <c r="C225" s="2" cm="1">
        <f t="array" ref="C225:D225">VLOOKUP(A225:B225,Dati!$A$2:$F$251,3,FALSE)</f>
        <v>29</v>
      </c>
      <c r="D225" s="2" t="e">
        <v>#N/A</v>
      </c>
      <c r="E225" s="2" t="str" cm="1">
        <f t="array" ref="E225:F225">VLOOKUP(A225:B225,Dati!$A$2:$F$251,4,FALSE)</f>
        <v>Diploma di scuola superiore</v>
      </c>
      <c r="F225" s="2" t="e">
        <v>#N/A</v>
      </c>
      <c r="G225" s="2" t="str" cm="1">
        <f t="array" ref="G225:H225">VLOOKUP(A225:B225,Dati!A167:F416,6,FALSE)</f>
        <v>Contabile</v>
      </c>
      <c r="H225" t="e">
        <v>#N/A</v>
      </c>
    </row>
    <row r="226" spans="1:8" x14ac:dyDescent="0.25">
      <c r="A226" s="3" t="s">
        <v>625</v>
      </c>
      <c r="B226" s="3" t="s">
        <v>626</v>
      </c>
      <c r="C226" s="2" cm="1">
        <f t="array" ref="C226:D226">VLOOKUP(A226:B226,Dati!$A$2:$F$251,3,FALSE)</f>
        <v>30</v>
      </c>
      <c r="D226" s="2" t="e">
        <v>#N/A</v>
      </c>
      <c r="E226" s="2" t="str" cm="1">
        <f t="array" ref="E226:F226">VLOOKUP(A226:B226,Dati!$A$2:$F$251,4,FALSE)</f>
        <v>Master</v>
      </c>
      <c r="F226" s="2" t="e">
        <v>#N/A</v>
      </c>
      <c r="G226" s="2" t="str" cm="1">
        <f t="array" ref="G226:H226">VLOOKUP(A226:B226,Dati!A228:F477,6,FALSE)</f>
        <v>Marketing Specialist</v>
      </c>
      <c r="H226" t="e">
        <v>#N/A</v>
      </c>
    </row>
    <row r="227" spans="1:8" x14ac:dyDescent="0.25">
      <c r="A227" s="3" t="s">
        <v>543</v>
      </c>
      <c r="B227" s="3" t="s">
        <v>175</v>
      </c>
      <c r="C227" s="2" cm="1">
        <f t="array" ref="C227:D227">VLOOKUP(A227:B227,Dati!$A$2:$F$251,3,FALSE)</f>
        <v>58</v>
      </c>
      <c r="D227" s="2" t="e">
        <v>#N/A</v>
      </c>
      <c r="E227" s="2" t="str" cm="1">
        <f t="array" ref="E227:F227">VLOOKUP(A227:B227,Dati!$A$2:$F$251,4,FALSE)</f>
        <v>Diploma di scuola superiore</v>
      </c>
      <c r="F227" s="2" t="e">
        <v>#N/A</v>
      </c>
      <c r="G227" s="2" t="str" cm="1">
        <f t="array" ref="G227:H227">VLOOKUP(A227:B227,Dati!A196:F445,6,FALSE)</f>
        <v>Direttore risorse umane</v>
      </c>
      <c r="H227" t="e">
        <v>#N/A</v>
      </c>
    </row>
    <row r="228" spans="1:8" x14ac:dyDescent="0.25">
      <c r="A228" s="3" t="s">
        <v>388</v>
      </c>
      <c r="B228" s="3" t="s">
        <v>389</v>
      </c>
      <c r="C228" s="2" cm="1">
        <f t="array" ref="C228:D228">VLOOKUP(A228:B228,Dati!$A$2:$F$251,3,FALSE)</f>
        <v>22</v>
      </c>
      <c r="D228" s="2" t="e">
        <v>#N/A</v>
      </c>
      <c r="E228" s="2" t="str" cm="1">
        <f t="array" ref="E228:F228">VLOOKUP(A228:B228,Dati!$A$2:$F$251,4,FALSE)</f>
        <v>Laurea triennale</v>
      </c>
      <c r="F228" s="2" t="e">
        <v>#N/A</v>
      </c>
      <c r="G228" s="2" t="str" cm="1">
        <f t="array" ref="G228:H228">VLOOKUP(A228:B228,Dati!A133:F382,6,FALSE)</f>
        <v>Addetto logistica</v>
      </c>
      <c r="H228" t="e">
        <v>#N/A</v>
      </c>
    </row>
    <row r="229" spans="1:8" x14ac:dyDescent="0.25">
      <c r="A229" s="3" t="s">
        <v>131</v>
      </c>
      <c r="B229" s="3" t="s">
        <v>132</v>
      </c>
      <c r="C229" s="2" cm="1">
        <f t="array" ref="C229:D229">VLOOKUP(A229:B229,Dati!$A$2:$F$251,3,FALSE)</f>
        <v>65</v>
      </c>
      <c r="D229" s="2" t="e">
        <v>#N/A</v>
      </c>
      <c r="E229" s="2" t="str" cm="1">
        <f t="array" ref="E229:F229">VLOOKUP(A229:B229,Dati!$A$2:$F$251,4,FALSE)</f>
        <v>Dottorato di ricerca</v>
      </c>
      <c r="F229" s="2" t="e">
        <v>#N/A</v>
      </c>
      <c r="G229" s="2" t="str" cm="1">
        <f t="array" ref="G229:H229">VLOOKUP(A229:B229,Dati!A39:F288,6,FALSE)</f>
        <v>Marketing Specialist</v>
      </c>
      <c r="H229" t="e">
        <v>#N/A</v>
      </c>
    </row>
    <row r="230" spans="1:8" x14ac:dyDescent="0.25">
      <c r="A230" s="3" t="s">
        <v>98</v>
      </c>
      <c r="B230" s="3" t="s">
        <v>99</v>
      </c>
      <c r="C230" s="2" cm="1">
        <f t="array" ref="C230:D230">VLOOKUP(A230:B230,Dati!$A$2:$F$251,3,FALSE)</f>
        <v>55</v>
      </c>
      <c r="D230" s="2" t="e">
        <v>#N/A</v>
      </c>
      <c r="E230" s="2" t="str" cm="1">
        <f t="array" ref="E230:F230">VLOOKUP(A230:B230,Dati!$A$2:$F$251,4,FALSE)</f>
        <v>Master</v>
      </c>
      <c r="F230" s="2" t="e">
        <v>#N/A</v>
      </c>
      <c r="G230" s="2" t="str" cm="1">
        <f t="array" ref="G230:H230">VLOOKUP(A230:B230,Dati!A29:F278,6,FALSE)</f>
        <v>Direttore risorse umane</v>
      </c>
      <c r="H230" t="e">
        <v>#N/A</v>
      </c>
    </row>
    <row r="231" spans="1:8" x14ac:dyDescent="0.25">
      <c r="A231" s="3" t="s">
        <v>98</v>
      </c>
      <c r="B231" s="3" t="s">
        <v>620</v>
      </c>
      <c r="C231" s="2" cm="1">
        <f t="array" ref="C231:D231">VLOOKUP(A231:B231,Dati!$A$2:$F$251,3,FALSE)</f>
        <v>55</v>
      </c>
      <c r="D231" s="2" t="e">
        <v>#N/A</v>
      </c>
      <c r="E231" s="2" t="str" cm="1">
        <f t="array" ref="E231:F231">VLOOKUP(A231:B231,Dati!$A$2:$F$251,4,FALSE)</f>
        <v>Master</v>
      </c>
      <c r="F231" s="2" t="e">
        <v>#N/A</v>
      </c>
      <c r="G231" s="2" t="str" cm="1">
        <f t="array" ref="G231:H231">VLOOKUP(A231:B231,Dati!A226:F475,6,FALSE)</f>
        <v>Project Manager</v>
      </c>
      <c r="H231" t="e">
        <v>#N/A</v>
      </c>
    </row>
    <row r="232" spans="1:8" x14ac:dyDescent="0.25">
      <c r="A232" s="3" t="s">
        <v>63</v>
      </c>
      <c r="B232" s="3" t="s">
        <v>64</v>
      </c>
      <c r="C232" s="2" cm="1">
        <f t="array" ref="C232:D232">VLOOKUP(A232:B232,Dati!$A$2:$F$251,3,FALSE)</f>
        <v>51</v>
      </c>
      <c r="D232" s="2" t="e">
        <v>#N/A</v>
      </c>
      <c r="E232" s="2" t="str" cm="1">
        <f t="array" ref="E232:F232">VLOOKUP(A232:B232,Dati!$A$2:$F$251,4,FALSE)</f>
        <v>Diploma di scuola superiore</v>
      </c>
      <c r="F232" s="2" t="e">
        <v>#N/A</v>
      </c>
      <c r="G232" s="2" t="str" cm="1">
        <f t="array" ref="G232:H232">VLOOKUP(A232:B232,Dati!A17:F266,6,FALSE)</f>
        <v>Project Manager</v>
      </c>
      <c r="H232" t="e">
        <v>#N/A</v>
      </c>
    </row>
    <row r="233" spans="1:8" x14ac:dyDescent="0.25">
      <c r="A233" s="3" t="s">
        <v>63</v>
      </c>
      <c r="B233" s="3" t="s">
        <v>7</v>
      </c>
      <c r="C233" s="2" cm="1">
        <f t="array" ref="C233:D233">VLOOKUP(A233:B233,Dati!$A$2:$F$251,3,FALSE)</f>
        <v>51</v>
      </c>
      <c r="D233" s="2" t="e">
        <v>#N/A</v>
      </c>
      <c r="E233" s="2" t="str" cm="1">
        <f t="array" ref="E233:F233">VLOOKUP(A233:B233,Dati!$A$2:$F$251,4,FALSE)</f>
        <v>Diploma di scuola superiore</v>
      </c>
      <c r="F233" s="2" t="e">
        <v>#N/A</v>
      </c>
      <c r="G233" s="2" t="str" cm="1">
        <f t="array" ref="G233:H233">VLOOKUP(A233:B233,Dati!A144:F393,6,FALSE)</f>
        <v>Direttore risorse umane</v>
      </c>
      <c r="H233" t="e">
        <v>#N/A</v>
      </c>
    </row>
    <row r="234" spans="1:8" x14ac:dyDescent="0.25">
      <c r="A234" s="3" t="s">
        <v>63</v>
      </c>
      <c r="B234" s="3" t="s">
        <v>629</v>
      </c>
      <c r="C234" s="2" cm="1">
        <f t="array" ref="C234:D234">VLOOKUP(A234:B234,Dati!$A$2:$F$251,3,FALSE)</f>
        <v>51</v>
      </c>
      <c r="D234" s="2" t="e">
        <v>#N/A</v>
      </c>
      <c r="E234" s="2" t="str" cm="1">
        <f t="array" ref="E234:F234">VLOOKUP(A234:B234,Dati!$A$2:$F$251,4,FALSE)</f>
        <v>Diploma di scuola superiore</v>
      </c>
      <c r="F234" s="2" t="e">
        <v>#N/A</v>
      </c>
      <c r="G234" s="2" t="str" cm="1">
        <f t="array" ref="G234:H234">VLOOKUP(A234:B234,Dati!A245:F494,6,FALSE)</f>
        <v>Tecnico informatico</v>
      </c>
      <c r="H234" t="e">
        <v>#N/A</v>
      </c>
    </row>
    <row r="235" spans="1:8" x14ac:dyDescent="0.25">
      <c r="A235" s="3" t="s">
        <v>104</v>
      </c>
      <c r="B235" s="3" t="s">
        <v>105</v>
      </c>
      <c r="C235" s="2" cm="1">
        <f t="array" ref="C235:D235">VLOOKUP(A235:B235,Dati!$A$2:$F$251,3,FALSE)</f>
        <v>46</v>
      </c>
      <c r="D235" s="2" t="e">
        <v>#N/A</v>
      </c>
      <c r="E235" s="2" t="str" cm="1">
        <f t="array" ref="E235:F235">VLOOKUP(A235:B235,Dati!$A$2:$F$251,4,FALSE)</f>
        <v>Master</v>
      </c>
      <c r="F235" s="2" t="e">
        <v>#N/A</v>
      </c>
      <c r="G235" s="2" t="str" cm="1">
        <f t="array" ref="G235:H235">VLOOKUP(A235:B235,Dati!A31:F280,6,FALSE)</f>
        <v>Project Manager</v>
      </c>
      <c r="H235" t="e">
        <v>#N/A</v>
      </c>
    </row>
    <row r="236" spans="1:8" x14ac:dyDescent="0.25">
      <c r="A236" s="3" t="s">
        <v>457</v>
      </c>
      <c r="B236" s="3" t="s">
        <v>458</v>
      </c>
      <c r="C236" s="2" cm="1">
        <f t="array" ref="C236:D236">VLOOKUP(A236:B236,Dati!$A$2:$F$251,3,FALSE)</f>
        <v>43</v>
      </c>
      <c r="D236" s="2" t="e">
        <v>#N/A</v>
      </c>
      <c r="E236" s="2" t="str" cm="1">
        <f t="array" ref="E236:F236">VLOOKUP(A236:B236,Dati!$A$2:$F$251,4,FALSE)</f>
        <v>Laurea triennale</v>
      </c>
      <c r="F236" s="2" t="e">
        <v>#N/A</v>
      </c>
      <c r="G236" s="2" t="str" cm="1">
        <f t="array" ref="G236:H236">VLOOKUP(A236:B236,Dati!A162:F411,6,FALSE)</f>
        <v>Direttore risorse umane</v>
      </c>
      <c r="H236" t="e">
        <v>#N/A</v>
      </c>
    </row>
    <row r="237" spans="1:8" x14ac:dyDescent="0.25">
      <c r="A237" s="3" t="s">
        <v>594</v>
      </c>
      <c r="B237" s="3" t="s">
        <v>595</v>
      </c>
      <c r="C237" s="2" cm="1">
        <f t="array" ref="C237:D237">VLOOKUP(A237:B237,Dati!$A$2:$F$251,3,FALSE)</f>
        <v>20</v>
      </c>
      <c r="D237" s="2" t="e">
        <v>#N/A</v>
      </c>
      <c r="E237" s="2" t="str" cm="1">
        <f t="array" ref="E237:F237">VLOOKUP(A237:B237,Dati!$A$2:$F$251,4,FALSE)</f>
        <v>Laurea magistrale</v>
      </c>
      <c r="F237" s="2" t="e">
        <v>#N/A</v>
      </c>
      <c r="G237" s="2" t="str" cm="1">
        <f t="array" ref="G237:H237">VLOOKUP(A237:B237,Dati!A216:F465,6,FALSE)</f>
        <v>Analista dati</v>
      </c>
      <c r="H237" t="e">
        <v>#N/A</v>
      </c>
    </row>
    <row r="238" spans="1:8" x14ac:dyDescent="0.25">
      <c r="A238" s="3" t="s">
        <v>490</v>
      </c>
      <c r="B238" s="3" t="s">
        <v>491</v>
      </c>
      <c r="C238" s="2" cm="1">
        <f t="array" ref="C238:D238">VLOOKUP(A238:B238,Dati!$A$2:$F$251,3,FALSE)</f>
        <v>27</v>
      </c>
      <c r="D238" s="2" t="e">
        <v>#N/A</v>
      </c>
      <c r="E238" s="2" t="str" cm="1">
        <f t="array" ref="E238:F238">VLOOKUP(A238:B238,Dati!$A$2:$F$251,4,FALSE)</f>
        <v>Diploma di scuola superiore</v>
      </c>
      <c r="F238" s="2" t="e">
        <v>#N/A</v>
      </c>
      <c r="G238" s="2" t="str" cm="1">
        <f t="array" ref="G238:H238">VLOOKUP(A238:B238,Dati!A175:F424,6,FALSE)</f>
        <v>Contabile</v>
      </c>
      <c r="H238" t="e">
        <v>#N/A</v>
      </c>
    </row>
    <row r="239" spans="1:8" x14ac:dyDescent="0.25">
      <c r="A239" s="3" t="s">
        <v>6</v>
      </c>
      <c r="B239" s="3" t="s">
        <v>7</v>
      </c>
      <c r="C239" s="2" cm="1">
        <f t="array" ref="C239:D239">VLOOKUP(A239:B239,Dati!$A$2:$F$251,3,FALSE)</f>
        <v>42</v>
      </c>
      <c r="D239" s="2" t="e">
        <v>#N/A</v>
      </c>
      <c r="E239" s="2" t="str" cm="1">
        <f t="array" ref="E239:F239">VLOOKUP(A239:B239,Dati!$A$2:$F$251,4,FALSE)</f>
        <v>Laurea magistrale</v>
      </c>
      <c r="F239" s="2" t="e">
        <v>#N/A</v>
      </c>
      <c r="G239" s="2" t="str" cm="1">
        <f t="array" ref="G239:H239">VLOOKUP(A239:B239,Dati!A2:F251,6,FALSE)</f>
        <v>Impiegato amministrativo</v>
      </c>
      <c r="H239" t="e">
        <v>#N/A</v>
      </c>
    </row>
    <row r="240" spans="1:8" x14ac:dyDescent="0.25">
      <c r="A240" s="3" t="s">
        <v>308</v>
      </c>
      <c r="B240" s="3" t="s">
        <v>309</v>
      </c>
      <c r="C240" s="2" cm="1">
        <f t="array" ref="C240:D240">VLOOKUP(A240:B240,Dati!$A$2:$F$251,3,FALSE)</f>
        <v>55</v>
      </c>
      <c r="D240" s="2" t="e">
        <v>#N/A</v>
      </c>
      <c r="E240" s="2" t="str" cm="1">
        <f t="array" ref="E240:F240">VLOOKUP(A240:B240,Dati!$A$2:$F$251,4,FALSE)</f>
        <v>Diploma di scuola superiore</v>
      </c>
      <c r="F240" s="2" t="e">
        <v>#N/A</v>
      </c>
      <c r="G240" s="2" t="str" cm="1">
        <f t="array" ref="G240:H240">VLOOKUP(A240:B240,Dati!A103:F352,6,FALSE)</f>
        <v>Tecnico informatico</v>
      </c>
      <c r="H240" t="e">
        <v>#N/A</v>
      </c>
    </row>
    <row r="241" spans="1:8" x14ac:dyDescent="0.25">
      <c r="A241" s="3" t="s">
        <v>634</v>
      </c>
      <c r="B241" s="3" t="s">
        <v>635</v>
      </c>
      <c r="C241" s="2" cm="1">
        <f t="array" ref="C241:D241">VLOOKUP(A241:B241,Dati!$A$2:$F$251,3,FALSE)</f>
        <v>54</v>
      </c>
      <c r="D241" s="2" t="e">
        <v>#N/A</v>
      </c>
      <c r="E241" s="2" t="str" cm="1">
        <f t="array" ref="E241:F241">VLOOKUP(A241:B241,Dati!$A$2:$F$251,4,FALSE)</f>
        <v>Laurea magistrale</v>
      </c>
      <c r="F241" s="2" t="e">
        <v>#N/A</v>
      </c>
      <c r="G241" s="2" t="str" cm="1">
        <f t="array" ref="G241:H241">VLOOKUP(A241:B241,Dati!A232:F481,6,FALSE)</f>
        <v>Direttore risorse umane</v>
      </c>
      <c r="H241" t="e">
        <v>#N/A</v>
      </c>
    </row>
    <row r="242" spans="1:8" x14ac:dyDescent="0.25">
      <c r="A242" s="3" t="s">
        <v>196</v>
      </c>
      <c r="B242" s="3" t="s">
        <v>197</v>
      </c>
      <c r="C242" s="2" cm="1">
        <f t="array" ref="C242:D242">VLOOKUP(A242:B242,Dati!$A$2:$F$251,3,FALSE)</f>
        <v>23</v>
      </c>
      <c r="D242" s="2" t="e">
        <v>#N/A</v>
      </c>
      <c r="E242" s="2" t="str" cm="1">
        <f t="array" ref="E242:F242">VLOOKUP(A242:B242,Dati!$A$2:$F$251,4,FALSE)</f>
        <v>Dottorato di ricerca</v>
      </c>
      <c r="F242" s="2" t="e">
        <v>#N/A</v>
      </c>
      <c r="G242" s="2" t="str" cm="1">
        <f t="array" ref="G242:H242">VLOOKUP(A242:B242,Dati!A63:F312,6,FALSE)</f>
        <v>Marketing Specialist</v>
      </c>
      <c r="H242" t="e">
        <v>#N/A</v>
      </c>
    </row>
    <row r="243" spans="1:8" x14ac:dyDescent="0.25">
      <c r="A243" s="3" t="s">
        <v>196</v>
      </c>
      <c r="B243" s="3" t="s">
        <v>320</v>
      </c>
      <c r="C243" s="2" cm="1">
        <f t="array" ref="C243:D243">VLOOKUP(A243:B243,Dati!$A$2:$F$251,3,FALSE)</f>
        <v>23</v>
      </c>
      <c r="D243" s="2" t="e">
        <v>#N/A</v>
      </c>
      <c r="E243" s="2" t="str" cm="1">
        <f t="array" ref="E243:F243">VLOOKUP(A243:B243,Dati!$A$2:$F$251,4,FALSE)</f>
        <v>Dottorato di ricerca</v>
      </c>
      <c r="F243" s="2" t="e">
        <v>#N/A</v>
      </c>
      <c r="G243" s="2" t="str" cm="1">
        <f t="array" ref="G243:H243">VLOOKUP(A243:B243,Dati!A107:F356,6,FALSE)</f>
        <v>Impiegato amministrativo</v>
      </c>
      <c r="H243" t="e">
        <v>#N/A</v>
      </c>
    </row>
    <row r="244" spans="1:8" x14ac:dyDescent="0.25">
      <c r="A244" s="3" t="s">
        <v>36</v>
      </c>
      <c r="B244" s="3" t="s">
        <v>37</v>
      </c>
      <c r="C244" s="2" cm="1">
        <f t="array" ref="C244:D244">VLOOKUP(A244:B244,Dati!$A$2:$F$251,3,FALSE)</f>
        <v>33</v>
      </c>
      <c r="D244" s="2" t="e">
        <v>#N/A</v>
      </c>
      <c r="E244" s="2" t="str" cm="1">
        <f t="array" ref="E244:F244">VLOOKUP(A244:B244,Dati!$A$2:$F$251,4,FALSE)</f>
        <v>Master</v>
      </c>
      <c r="F244" s="2" t="e">
        <v>#N/A</v>
      </c>
      <c r="G244" s="2" t="str" cm="1">
        <f t="array" ref="G244:H244">VLOOKUP(A244:B244,Dati!A9:F258,6,FALSE)</f>
        <v>Project Manager</v>
      </c>
      <c r="H244" t="e">
        <v>#N/A</v>
      </c>
    </row>
    <row r="245" spans="1:8" x14ac:dyDescent="0.25">
      <c r="A245" s="3" t="s">
        <v>36</v>
      </c>
      <c r="B245" s="3" t="s">
        <v>166</v>
      </c>
      <c r="C245" s="2" cm="1">
        <f t="array" ref="C245:D245">VLOOKUP(A245:B245,Dati!$A$2:$F$251,3,FALSE)</f>
        <v>33</v>
      </c>
      <c r="D245" s="2" t="e">
        <v>#N/A</v>
      </c>
      <c r="E245" s="2" t="str" cm="1">
        <f t="array" ref="E245:F245">VLOOKUP(A245:B245,Dati!$A$2:$F$251,4,FALSE)</f>
        <v>Master</v>
      </c>
      <c r="F245" s="2" t="e">
        <v>#N/A</v>
      </c>
      <c r="G245" s="2" t="str" cm="1">
        <f t="array" ref="G245:H245">VLOOKUP(A245:B245,Dati!A52:F301,6,FALSE)</f>
        <v>Contabile</v>
      </c>
      <c r="H245" t="e">
        <v>#N/A</v>
      </c>
    </row>
    <row r="246" spans="1:8" x14ac:dyDescent="0.25">
      <c r="A246" s="3" t="s">
        <v>36</v>
      </c>
      <c r="B246" s="3" t="s">
        <v>237</v>
      </c>
      <c r="C246" s="2" cm="1">
        <f t="array" ref="C246:D246">VLOOKUP(A246:B246,Dati!$A$2:$F$251,3,FALSE)</f>
        <v>33</v>
      </c>
      <c r="D246" s="2" t="e">
        <v>#N/A</v>
      </c>
      <c r="E246" s="2" t="str" cm="1">
        <f t="array" ref="E246:F246">VLOOKUP(A246:B246,Dati!$A$2:$F$251,4,FALSE)</f>
        <v>Master</v>
      </c>
      <c r="F246" s="2" t="e">
        <v>#N/A</v>
      </c>
      <c r="G246" s="2" t="str" cm="1">
        <f t="array" ref="G246:H246">VLOOKUP(A246:B246,Dati!A78:F327,6,FALSE)</f>
        <v>Addetto logistica</v>
      </c>
      <c r="H246" t="e">
        <v>#N/A</v>
      </c>
    </row>
    <row r="247" spans="1:8" x14ac:dyDescent="0.25">
      <c r="A247" s="3" t="s">
        <v>286</v>
      </c>
      <c r="B247" s="3" t="s">
        <v>472</v>
      </c>
      <c r="C247" s="2" cm="1">
        <f t="array" ref="C247:D247">VLOOKUP(A247:B247,Dati!$A$2:$F$251,3,FALSE)</f>
        <v>46</v>
      </c>
      <c r="D247" s="2" t="e">
        <v>#N/A</v>
      </c>
      <c r="E247" s="2" t="str" cm="1">
        <f t="array" ref="E247:F247">VLOOKUP(A247:B247,Dati!$A$2:$F$251,4,FALSE)</f>
        <v>Diploma di scuola superiore</v>
      </c>
      <c r="F247" s="2" t="e">
        <v>#N/A</v>
      </c>
      <c r="G247" s="2" t="str" cm="1">
        <f t="array" ref="G247:H247">VLOOKUP(A247:B247,Dati!A168:F417,6,FALSE)</f>
        <v>Project Manager</v>
      </c>
      <c r="H247" t="e">
        <v>#N/A</v>
      </c>
    </row>
    <row r="248" spans="1:8" x14ac:dyDescent="0.25">
      <c r="A248" s="3" t="s">
        <v>460</v>
      </c>
      <c r="B248" s="3" t="s">
        <v>461</v>
      </c>
      <c r="C248" s="2" cm="1">
        <f t="array" ref="C248:D248">VLOOKUP(A248:B248,Dati!$A$2:$F$251,3,FALSE)</f>
        <v>56</v>
      </c>
      <c r="D248" s="2" t="e">
        <v>#N/A</v>
      </c>
      <c r="E248" s="2" t="str" cm="1">
        <f t="array" ref="E248:F248">VLOOKUP(A248:B248,Dati!$A$2:$F$251,4,FALSE)</f>
        <v>Diploma di scuola superiore</v>
      </c>
      <c r="F248" s="2" t="e">
        <v>#N/A</v>
      </c>
      <c r="G248" s="2" t="str" cm="1">
        <f t="array" ref="G248:H248">VLOOKUP(A248:B248,Dati!A163:F412,6,FALSE)</f>
        <v>Analista dati</v>
      </c>
      <c r="H248" t="e">
        <v>#N/A</v>
      </c>
    </row>
    <row r="249" spans="1:8" x14ac:dyDescent="0.25">
      <c r="A249" s="3" t="s">
        <v>460</v>
      </c>
      <c r="B249" s="3" t="s">
        <v>506</v>
      </c>
      <c r="C249" s="2" cm="1">
        <f t="array" ref="C249:D249">VLOOKUP(A249:B249,Dati!$A$2:$F$251,3,FALSE)</f>
        <v>56</v>
      </c>
      <c r="D249" s="2" t="e">
        <v>#N/A</v>
      </c>
      <c r="E249" s="2" t="str" cm="1">
        <f t="array" ref="E249:F249">VLOOKUP(A249:B249,Dati!$A$2:$F$251,4,FALSE)</f>
        <v>Diploma di scuola superiore</v>
      </c>
      <c r="F249" s="2" t="e">
        <v>#N/A</v>
      </c>
      <c r="G249" s="2" t="str" cm="1">
        <f t="array" ref="G249:H249">VLOOKUP(A249:B249,Dati!A181:F430,6,FALSE)</f>
        <v>Marketing Specialist</v>
      </c>
      <c r="H249" t="e">
        <v>#N/A</v>
      </c>
    </row>
    <row r="250" spans="1:8" x14ac:dyDescent="0.25">
      <c r="A250" s="3" t="s">
        <v>177</v>
      </c>
      <c r="B250" s="3" t="s">
        <v>178</v>
      </c>
      <c r="C250" s="2" cm="1">
        <f t="array" ref="C250:D250">VLOOKUP(A250:B250,Dati!$A$2:$F$251,3,FALSE)</f>
        <v>60</v>
      </c>
      <c r="D250" s="2" t="e">
        <v>#N/A</v>
      </c>
      <c r="E250" s="2" t="str" cm="1">
        <f t="array" ref="E250:F250">VLOOKUP(A250:B250,Dati!$A$2:$F$251,4,FALSE)</f>
        <v>Diploma di scuola superiore</v>
      </c>
      <c r="F250" s="2" t="e">
        <v>#N/A</v>
      </c>
      <c r="G250" s="2" t="str" cm="1">
        <f t="array" ref="G250:H250">VLOOKUP(A250:B250,Dati!A56:F305,6,FALSE)</f>
        <v>Contabile</v>
      </c>
      <c r="H250" t="e">
        <v>#N/A</v>
      </c>
    </row>
    <row r="251" spans="1:8" x14ac:dyDescent="0.25">
      <c r="A251" s="3" t="s">
        <v>177</v>
      </c>
      <c r="B251" s="3" t="s">
        <v>96</v>
      </c>
      <c r="C251" s="2" cm="1">
        <f t="array" ref="C251:D251">VLOOKUP(A251:B251,Dati!$A$2:$F$251,3,FALSE)</f>
        <v>60</v>
      </c>
      <c r="D251" s="2" t="e">
        <v>#N/A</v>
      </c>
      <c r="E251" s="2" t="str" cm="1">
        <f t="array" ref="E251:F251">VLOOKUP(A251:B251,Dati!$A$2:$F$251,4,FALSE)</f>
        <v>Diploma di scuola superiore</v>
      </c>
      <c r="F251" s="2" t="e">
        <v>#N/A</v>
      </c>
      <c r="G251" s="2" t="str" cm="1">
        <f t="array" ref="G251:H251">VLOOKUP(A251:B251,Dati!A230:F479,6,FALSE)</f>
        <v>Analista dati</v>
      </c>
      <c r="H251" t="e">
        <v>#N/A</v>
      </c>
    </row>
  </sheetData>
  <sortState xmlns:xlrd2="http://schemas.microsoft.com/office/spreadsheetml/2017/richdata2" ref="A2:H251">
    <sortCondition ref="A2:A251"/>
  </sortState>
  <conditionalFormatting sqref="C2:C251">
    <cfRule type="cellIs" dxfId="8" priority="1" operator="greaterThan">
      <formula>60</formula>
    </cfRule>
    <cfRule type="cellIs" dxfId="7" priority="2" operator="between">
      <formula>35</formula>
      <formula>60</formula>
    </cfRule>
    <cfRule type="cellIs" dxfId="6" priority="3" operator="between">
      <formula>0</formula>
      <formula>35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E5D61-3175-4296-A847-D472BEC9C8F1}">
  <dimension ref="A3:L58"/>
  <sheetViews>
    <sheetView topLeftCell="A37" workbookViewId="0">
      <selection activeCell="E16" sqref="E16:F21"/>
    </sheetView>
  </sheetViews>
  <sheetFormatPr defaultRowHeight="15" x14ac:dyDescent="0.25"/>
  <cols>
    <col min="1" max="1" width="18.28515625" bestFit="1" customWidth="1"/>
    <col min="2" max="2" width="18.85546875" bestFit="1" customWidth="1"/>
    <col min="3" max="3" width="21.42578125" bestFit="1" customWidth="1"/>
    <col min="4" max="4" width="9.5703125" bestFit="1" customWidth="1"/>
    <col min="5" max="6" width="26.140625" bestFit="1" customWidth="1"/>
    <col min="7" max="7" width="18.85546875" bestFit="1" customWidth="1"/>
    <col min="8" max="8" width="26.140625" bestFit="1" customWidth="1"/>
    <col min="9" max="9" width="18.85546875" bestFit="1" customWidth="1"/>
    <col min="10" max="10" width="20.42578125" bestFit="1" customWidth="1"/>
    <col min="11" max="11" width="25.7109375" bestFit="1" customWidth="1"/>
    <col min="12" max="12" width="18.85546875" bestFit="1" customWidth="1"/>
  </cols>
  <sheetData>
    <row r="3" spans="1:12" x14ac:dyDescent="0.25">
      <c r="A3" s="4" t="s">
        <v>682</v>
      </c>
      <c r="B3" s="2" t="s">
        <v>683</v>
      </c>
      <c r="E3" s="4" t="s">
        <v>689</v>
      </c>
      <c r="F3" s="2" t="s">
        <v>683</v>
      </c>
      <c r="H3" s="17" t="s">
        <v>682</v>
      </c>
      <c r="I3" s="17" t="s">
        <v>683</v>
      </c>
      <c r="J3" s="12"/>
      <c r="K3" s="17" t="s">
        <v>682</v>
      </c>
      <c r="L3" s="17" t="s">
        <v>683</v>
      </c>
    </row>
    <row r="4" spans="1:12" x14ac:dyDescent="0.25">
      <c r="A4" s="5" t="s">
        <v>27</v>
      </c>
      <c r="B4" s="6">
        <v>78</v>
      </c>
      <c r="E4" s="5" t="s">
        <v>110</v>
      </c>
      <c r="F4" s="6">
        <v>22</v>
      </c>
      <c r="H4" s="8" t="s">
        <v>27</v>
      </c>
      <c r="I4" s="18"/>
      <c r="J4" s="12"/>
      <c r="K4" s="8" t="s">
        <v>8</v>
      </c>
      <c r="L4" s="18"/>
    </row>
    <row r="5" spans="1:12" x14ac:dyDescent="0.25">
      <c r="A5" s="5" t="s">
        <v>42</v>
      </c>
      <c r="B5" s="6">
        <v>44</v>
      </c>
      <c r="E5" s="5" t="s">
        <v>24</v>
      </c>
      <c r="F5" s="6">
        <v>21</v>
      </c>
      <c r="H5" s="7" t="s">
        <v>110</v>
      </c>
      <c r="I5" s="6">
        <v>4</v>
      </c>
      <c r="J5" s="12"/>
      <c r="K5" s="7" t="s">
        <v>110</v>
      </c>
      <c r="L5" s="6">
        <v>2</v>
      </c>
    </row>
    <row r="6" spans="1:12" x14ac:dyDescent="0.25">
      <c r="A6" s="5" t="s">
        <v>8</v>
      </c>
      <c r="B6" s="6">
        <v>37</v>
      </c>
      <c r="E6" s="5" t="s">
        <v>127</v>
      </c>
      <c r="F6" s="6">
        <v>18</v>
      </c>
      <c r="H6" s="7" t="s">
        <v>24</v>
      </c>
      <c r="I6" s="6">
        <v>8</v>
      </c>
      <c r="J6" s="12"/>
      <c r="K6" s="7" t="s">
        <v>24</v>
      </c>
      <c r="L6" s="6">
        <v>2</v>
      </c>
    </row>
    <row r="7" spans="1:12" x14ac:dyDescent="0.25">
      <c r="A7" s="5" t="s">
        <v>13</v>
      </c>
      <c r="B7" s="6">
        <v>39</v>
      </c>
      <c r="E7" s="5" t="s">
        <v>35</v>
      </c>
      <c r="F7" s="6">
        <v>24</v>
      </c>
      <c r="H7" s="7" t="s">
        <v>127</v>
      </c>
      <c r="I7" s="6">
        <v>6</v>
      </c>
      <c r="K7" s="7" t="s">
        <v>127</v>
      </c>
      <c r="L7" s="6">
        <v>4</v>
      </c>
    </row>
    <row r="8" spans="1:12" x14ac:dyDescent="0.25">
      <c r="A8" s="5" t="s">
        <v>18</v>
      </c>
      <c r="B8" s="6">
        <v>52</v>
      </c>
      <c r="E8" s="5" t="s">
        <v>10</v>
      </c>
      <c r="F8" s="6">
        <v>23</v>
      </c>
      <c r="H8" s="7" t="s">
        <v>35</v>
      </c>
      <c r="I8" s="6">
        <v>6</v>
      </c>
      <c r="K8" s="7" t="s">
        <v>35</v>
      </c>
      <c r="L8" s="6">
        <v>6</v>
      </c>
    </row>
    <row r="9" spans="1:12" x14ac:dyDescent="0.25">
      <c r="A9" s="5" t="s">
        <v>681</v>
      </c>
      <c r="B9" s="6">
        <v>250</v>
      </c>
      <c r="E9" s="5" t="s">
        <v>117</v>
      </c>
      <c r="F9" s="6">
        <v>27</v>
      </c>
      <c r="H9" s="7" t="s">
        <v>10</v>
      </c>
      <c r="I9" s="6">
        <v>8</v>
      </c>
      <c r="K9" s="7" t="s">
        <v>10</v>
      </c>
      <c r="L9" s="6">
        <v>4</v>
      </c>
    </row>
    <row r="10" spans="1:12" x14ac:dyDescent="0.25">
      <c r="E10" s="5" t="s">
        <v>20</v>
      </c>
      <c r="F10" s="6">
        <v>29</v>
      </c>
      <c r="H10" s="7" t="s">
        <v>117</v>
      </c>
      <c r="I10" s="6">
        <v>7</v>
      </c>
      <c r="K10" s="7" t="s">
        <v>117</v>
      </c>
      <c r="L10" s="6">
        <v>3</v>
      </c>
    </row>
    <row r="11" spans="1:12" x14ac:dyDescent="0.25">
      <c r="E11" s="5" t="s">
        <v>39</v>
      </c>
      <c r="F11" s="6">
        <v>28</v>
      </c>
      <c r="H11" s="7" t="s">
        <v>20</v>
      </c>
      <c r="I11" s="6">
        <v>12</v>
      </c>
      <c r="K11" s="7" t="s">
        <v>20</v>
      </c>
      <c r="L11" s="6">
        <v>4</v>
      </c>
    </row>
    <row r="12" spans="1:12" x14ac:dyDescent="0.25">
      <c r="A12" s="4" t="s">
        <v>2</v>
      </c>
      <c r="B12" s="2" t="s">
        <v>683</v>
      </c>
      <c r="E12" s="5" t="s">
        <v>15</v>
      </c>
      <c r="F12" s="6">
        <v>33</v>
      </c>
      <c r="H12" s="7" t="s">
        <v>39</v>
      </c>
      <c r="I12" s="6">
        <v>12</v>
      </c>
      <c r="K12" s="7" t="s">
        <v>39</v>
      </c>
      <c r="L12" s="6">
        <v>1</v>
      </c>
    </row>
    <row r="13" spans="1:12" x14ac:dyDescent="0.25">
      <c r="A13" s="5">
        <v>20</v>
      </c>
      <c r="B13" s="6">
        <v>6</v>
      </c>
      <c r="E13" s="5" t="s">
        <v>47</v>
      </c>
      <c r="F13" s="6">
        <v>25</v>
      </c>
      <c r="H13" s="7" t="s">
        <v>15</v>
      </c>
      <c r="I13" s="6">
        <v>8</v>
      </c>
      <c r="K13" s="7" t="s">
        <v>15</v>
      </c>
      <c r="L13" s="6">
        <v>4</v>
      </c>
    </row>
    <row r="14" spans="1:12" x14ac:dyDescent="0.25">
      <c r="A14" s="5">
        <v>21</v>
      </c>
      <c r="B14" s="6">
        <v>5</v>
      </c>
      <c r="E14" s="5" t="s">
        <v>681</v>
      </c>
      <c r="F14" s="6">
        <v>250</v>
      </c>
      <c r="H14" s="7" t="s">
        <v>47</v>
      </c>
      <c r="I14" s="6">
        <v>7</v>
      </c>
      <c r="K14" s="7" t="s">
        <v>47</v>
      </c>
      <c r="L14" s="6">
        <v>7</v>
      </c>
    </row>
    <row r="15" spans="1:12" x14ac:dyDescent="0.25">
      <c r="A15" s="5">
        <v>22</v>
      </c>
      <c r="B15" s="6">
        <v>7</v>
      </c>
      <c r="H15" s="20" t="s">
        <v>684</v>
      </c>
      <c r="I15" s="2">
        <f>SUM(I5:I14)</f>
        <v>78</v>
      </c>
      <c r="K15" s="20" t="s">
        <v>684</v>
      </c>
      <c r="L15" s="2">
        <f>SUM(L5:L14)</f>
        <v>37</v>
      </c>
    </row>
    <row r="16" spans="1:12" x14ac:dyDescent="0.25">
      <c r="A16" s="5">
        <v>23</v>
      </c>
      <c r="B16" s="6">
        <v>2</v>
      </c>
      <c r="E16" s="4" t="s">
        <v>682</v>
      </c>
      <c r="F16" s="2" t="s">
        <v>683</v>
      </c>
    </row>
    <row r="17" spans="1:12" x14ac:dyDescent="0.25">
      <c r="A17" s="5">
        <v>24</v>
      </c>
      <c r="B17" s="6">
        <v>4</v>
      </c>
      <c r="E17" s="5" t="s">
        <v>27</v>
      </c>
      <c r="F17" s="6">
        <v>78</v>
      </c>
      <c r="H17" s="17" t="s">
        <v>682</v>
      </c>
      <c r="I17" s="17" t="s">
        <v>683</v>
      </c>
      <c r="K17" s="17" t="s">
        <v>682</v>
      </c>
      <c r="L17" s="17" t="s">
        <v>683</v>
      </c>
    </row>
    <row r="18" spans="1:12" x14ac:dyDescent="0.25">
      <c r="A18" s="5">
        <v>25</v>
      </c>
      <c r="B18" s="6">
        <v>6</v>
      </c>
      <c r="E18" s="5" t="s">
        <v>42</v>
      </c>
      <c r="F18" s="6">
        <v>44</v>
      </c>
      <c r="H18" s="8" t="s">
        <v>42</v>
      </c>
      <c r="I18" s="18"/>
      <c r="K18" s="8" t="s">
        <v>13</v>
      </c>
      <c r="L18" s="18"/>
    </row>
    <row r="19" spans="1:12" x14ac:dyDescent="0.25">
      <c r="A19" s="5">
        <v>26</v>
      </c>
      <c r="B19" s="6">
        <v>4</v>
      </c>
      <c r="E19" s="5" t="s">
        <v>8</v>
      </c>
      <c r="F19" s="6">
        <v>37</v>
      </c>
      <c r="H19" s="7" t="s">
        <v>110</v>
      </c>
      <c r="I19" s="6">
        <v>5</v>
      </c>
      <c r="K19" s="7" t="s">
        <v>110</v>
      </c>
      <c r="L19" s="6">
        <v>3</v>
      </c>
    </row>
    <row r="20" spans="1:12" x14ac:dyDescent="0.25">
      <c r="A20" s="5">
        <v>27</v>
      </c>
      <c r="B20" s="6">
        <v>6</v>
      </c>
      <c r="E20" s="5" t="s">
        <v>13</v>
      </c>
      <c r="F20" s="6">
        <v>39</v>
      </c>
      <c r="H20" s="7" t="s">
        <v>24</v>
      </c>
      <c r="I20" s="6">
        <v>5</v>
      </c>
      <c r="K20" s="7" t="s">
        <v>24</v>
      </c>
      <c r="L20" s="6">
        <v>1</v>
      </c>
    </row>
    <row r="21" spans="1:12" x14ac:dyDescent="0.25">
      <c r="A21" s="5">
        <v>28</v>
      </c>
      <c r="B21" s="6">
        <v>2</v>
      </c>
      <c r="E21" s="5" t="s">
        <v>18</v>
      </c>
      <c r="F21" s="6">
        <v>52</v>
      </c>
      <c r="H21" s="7" t="s">
        <v>127</v>
      </c>
      <c r="I21" s="6">
        <v>2</v>
      </c>
      <c r="K21" s="7" t="s">
        <v>127</v>
      </c>
      <c r="L21" s="6">
        <v>1</v>
      </c>
    </row>
    <row r="22" spans="1:12" x14ac:dyDescent="0.25">
      <c r="A22" s="5">
        <v>29</v>
      </c>
      <c r="B22" s="6">
        <v>10</v>
      </c>
      <c r="E22" s="5" t="s">
        <v>681</v>
      </c>
      <c r="F22" s="6">
        <v>250</v>
      </c>
      <c r="H22" s="7" t="s">
        <v>35</v>
      </c>
      <c r="I22" s="6">
        <v>4</v>
      </c>
      <c r="K22" s="7" t="s">
        <v>35</v>
      </c>
      <c r="L22" s="6">
        <v>4</v>
      </c>
    </row>
    <row r="23" spans="1:12" x14ac:dyDescent="0.25">
      <c r="A23" s="5">
        <v>30</v>
      </c>
      <c r="B23" s="6">
        <v>8</v>
      </c>
      <c r="H23" s="7" t="s">
        <v>10</v>
      </c>
      <c r="I23" s="6">
        <v>5</v>
      </c>
      <c r="K23" s="7" t="s">
        <v>10</v>
      </c>
      <c r="L23" s="6">
        <v>3</v>
      </c>
    </row>
    <row r="24" spans="1:12" x14ac:dyDescent="0.25">
      <c r="A24" s="5">
        <v>31</v>
      </c>
      <c r="B24" s="6">
        <v>4</v>
      </c>
      <c r="H24" s="7" t="s">
        <v>117</v>
      </c>
      <c r="I24" s="6">
        <v>6</v>
      </c>
      <c r="K24" s="7" t="s">
        <v>117</v>
      </c>
      <c r="L24" s="6">
        <v>3</v>
      </c>
    </row>
    <row r="25" spans="1:12" x14ac:dyDescent="0.25">
      <c r="A25" s="5">
        <v>32</v>
      </c>
      <c r="B25" s="6">
        <v>12</v>
      </c>
      <c r="E25" s="19" t="s">
        <v>688</v>
      </c>
      <c r="F25" s="19" t="s">
        <v>684</v>
      </c>
      <c r="H25" s="7" t="s">
        <v>20</v>
      </c>
      <c r="I25" s="6">
        <v>1</v>
      </c>
      <c r="K25" s="7" t="s">
        <v>20</v>
      </c>
      <c r="L25" s="6">
        <v>6</v>
      </c>
    </row>
    <row r="26" spans="1:12" x14ac:dyDescent="0.25">
      <c r="A26" s="5">
        <v>33</v>
      </c>
      <c r="B26" s="6">
        <v>7</v>
      </c>
      <c r="E26" s="29" t="s">
        <v>685</v>
      </c>
      <c r="F26" s="9">
        <f>COUNTIF('Dati sistemati'!$C$2:$C$251,"&gt;35")</f>
        <v>155</v>
      </c>
      <c r="H26" s="7" t="s">
        <v>39</v>
      </c>
      <c r="I26" s="6">
        <v>6</v>
      </c>
      <c r="K26" s="7" t="s">
        <v>39</v>
      </c>
      <c r="L26" s="6">
        <v>3</v>
      </c>
    </row>
    <row r="27" spans="1:12" x14ac:dyDescent="0.25">
      <c r="A27" s="5">
        <v>34</v>
      </c>
      <c r="B27" s="6">
        <v>3</v>
      </c>
      <c r="E27" s="29" t="s">
        <v>686</v>
      </c>
      <c r="F27" s="9">
        <f>250-(F26+F28)</f>
        <v>64</v>
      </c>
      <c r="H27" s="7" t="s">
        <v>15</v>
      </c>
      <c r="I27" s="6">
        <v>7</v>
      </c>
      <c r="K27" s="7" t="s">
        <v>15</v>
      </c>
      <c r="L27" s="6">
        <v>10</v>
      </c>
    </row>
    <row r="28" spans="1:12" x14ac:dyDescent="0.25">
      <c r="A28" s="5">
        <v>35</v>
      </c>
      <c r="B28" s="6">
        <v>9</v>
      </c>
      <c r="E28" s="30" t="s">
        <v>687</v>
      </c>
      <c r="F28" s="9">
        <f>COUNTIF('Dati sistemati'!$C$2:$C$251,"&gt;60")</f>
        <v>31</v>
      </c>
      <c r="H28" s="7" t="s">
        <v>47</v>
      </c>
      <c r="I28" s="6">
        <v>3</v>
      </c>
      <c r="K28" s="7" t="s">
        <v>47</v>
      </c>
      <c r="L28" s="6">
        <v>5</v>
      </c>
    </row>
    <row r="29" spans="1:12" x14ac:dyDescent="0.25">
      <c r="A29" s="5">
        <v>36</v>
      </c>
      <c r="B29" s="6">
        <v>6</v>
      </c>
      <c r="E29" s="32" t="s">
        <v>681</v>
      </c>
      <c r="F29" s="35">
        <f>SUM(F26:F28)</f>
        <v>250</v>
      </c>
      <c r="H29" s="20" t="s">
        <v>684</v>
      </c>
      <c r="I29" s="2">
        <f>SUM(I19:I28)</f>
        <v>44</v>
      </c>
      <c r="K29" s="20" t="s">
        <v>684</v>
      </c>
      <c r="L29" s="2">
        <f>SUM(L19:L28)</f>
        <v>39</v>
      </c>
    </row>
    <row r="30" spans="1:12" x14ac:dyDescent="0.25">
      <c r="A30" s="5">
        <v>37</v>
      </c>
      <c r="B30" s="6">
        <v>5</v>
      </c>
    </row>
    <row r="31" spans="1:12" x14ac:dyDescent="0.25">
      <c r="A31" s="5">
        <v>38</v>
      </c>
      <c r="B31" s="6">
        <v>3</v>
      </c>
      <c r="H31" s="17" t="s">
        <v>682</v>
      </c>
      <c r="I31" s="17" t="s">
        <v>683</v>
      </c>
    </row>
    <row r="32" spans="1:12" x14ac:dyDescent="0.25">
      <c r="A32" s="5">
        <v>39</v>
      </c>
      <c r="B32" s="6">
        <v>3</v>
      </c>
      <c r="H32" s="8" t="s">
        <v>18</v>
      </c>
      <c r="I32" s="18"/>
    </row>
    <row r="33" spans="1:9" x14ac:dyDescent="0.25">
      <c r="A33" s="5">
        <v>40</v>
      </c>
      <c r="B33" s="6">
        <v>5</v>
      </c>
      <c r="H33" s="7" t="s">
        <v>110</v>
      </c>
      <c r="I33" s="6">
        <v>8</v>
      </c>
    </row>
    <row r="34" spans="1:9" x14ac:dyDescent="0.25">
      <c r="A34" s="5">
        <v>41</v>
      </c>
      <c r="B34" s="6">
        <v>3</v>
      </c>
      <c r="H34" s="7" t="s">
        <v>24</v>
      </c>
      <c r="I34" s="6">
        <v>5</v>
      </c>
    </row>
    <row r="35" spans="1:9" x14ac:dyDescent="0.25">
      <c r="A35" s="5">
        <v>42</v>
      </c>
      <c r="B35" s="6">
        <v>12</v>
      </c>
      <c r="H35" s="7" t="s">
        <v>127</v>
      </c>
      <c r="I35" s="6">
        <v>5</v>
      </c>
    </row>
    <row r="36" spans="1:9" x14ac:dyDescent="0.25">
      <c r="A36" s="5">
        <v>43</v>
      </c>
      <c r="B36" s="6">
        <v>6</v>
      </c>
      <c r="H36" s="7" t="s">
        <v>35</v>
      </c>
      <c r="I36" s="6">
        <v>4</v>
      </c>
    </row>
    <row r="37" spans="1:9" x14ac:dyDescent="0.25">
      <c r="A37" s="5">
        <v>44</v>
      </c>
      <c r="B37" s="6">
        <v>2</v>
      </c>
      <c r="H37" s="7" t="s">
        <v>10</v>
      </c>
      <c r="I37" s="6">
        <v>3</v>
      </c>
    </row>
    <row r="38" spans="1:9" x14ac:dyDescent="0.25">
      <c r="A38" s="5">
        <v>45</v>
      </c>
      <c r="B38" s="6">
        <v>6</v>
      </c>
      <c r="H38" s="7" t="s">
        <v>117</v>
      </c>
      <c r="I38" s="6">
        <v>8</v>
      </c>
    </row>
    <row r="39" spans="1:9" x14ac:dyDescent="0.25">
      <c r="A39" s="5">
        <v>46</v>
      </c>
      <c r="B39" s="6">
        <v>5</v>
      </c>
      <c r="H39" s="7" t="s">
        <v>20</v>
      </c>
      <c r="I39" s="6">
        <v>6</v>
      </c>
    </row>
    <row r="40" spans="1:9" x14ac:dyDescent="0.25">
      <c r="A40" s="5">
        <v>47</v>
      </c>
      <c r="B40" s="6">
        <v>4</v>
      </c>
      <c r="H40" s="7" t="s">
        <v>39</v>
      </c>
      <c r="I40" s="6">
        <v>6</v>
      </c>
    </row>
    <row r="41" spans="1:9" x14ac:dyDescent="0.25">
      <c r="A41" s="5">
        <v>48</v>
      </c>
      <c r="B41" s="6">
        <v>3</v>
      </c>
      <c r="H41" s="7" t="s">
        <v>15</v>
      </c>
      <c r="I41" s="6">
        <v>4</v>
      </c>
    </row>
    <row r="42" spans="1:9" x14ac:dyDescent="0.25">
      <c r="A42" s="5">
        <v>49</v>
      </c>
      <c r="B42" s="6">
        <v>7</v>
      </c>
      <c r="H42" s="7" t="s">
        <v>47</v>
      </c>
      <c r="I42" s="6">
        <v>3</v>
      </c>
    </row>
    <row r="43" spans="1:9" x14ac:dyDescent="0.25">
      <c r="A43" s="5">
        <v>50</v>
      </c>
      <c r="B43" s="6">
        <v>4</v>
      </c>
      <c r="H43" s="20" t="s">
        <v>684</v>
      </c>
      <c r="I43" s="2">
        <f>SUM(I33:I42)</f>
        <v>52</v>
      </c>
    </row>
    <row r="44" spans="1:9" x14ac:dyDescent="0.25">
      <c r="A44" s="5">
        <v>51</v>
      </c>
      <c r="B44" s="6">
        <v>9</v>
      </c>
    </row>
    <row r="45" spans="1:9" x14ac:dyDescent="0.25">
      <c r="A45" s="5">
        <v>52</v>
      </c>
      <c r="B45" s="6">
        <v>6</v>
      </c>
    </row>
    <row r="46" spans="1:9" x14ac:dyDescent="0.25">
      <c r="A46" s="5">
        <v>54</v>
      </c>
      <c r="B46" s="6">
        <v>7</v>
      </c>
    </row>
    <row r="47" spans="1:9" x14ac:dyDescent="0.25">
      <c r="A47" s="5">
        <v>55</v>
      </c>
      <c r="B47" s="6">
        <v>4</v>
      </c>
    </row>
    <row r="48" spans="1:9" x14ac:dyDescent="0.25">
      <c r="A48" s="5">
        <v>56</v>
      </c>
      <c r="B48" s="6">
        <v>8</v>
      </c>
    </row>
    <row r="49" spans="1:2" x14ac:dyDescent="0.25">
      <c r="A49" s="5">
        <v>57</v>
      </c>
      <c r="B49" s="6">
        <v>4</v>
      </c>
    </row>
    <row r="50" spans="1:2" x14ac:dyDescent="0.25">
      <c r="A50" s="5">
        <v>58</v>
      </c>
      <c r="B50" s="6">
        <v>2</v>
      </c>
    </row>
    <row r="51" spans="1:2" x14ac:dyDescent="0.25">
      <c r="A51" s="5">
        <v>59</v>
      </c>
      <c r="B51" s="6">
        <v>7</v>
      </c>
    </row>
    <row r="52" spans="1:2" x14ac:dyDescent="0.25">
      <c r="A52" s="5">
        <v>60</v>
      </c>
      <c r="B52" s="6">
        <v>3</v>
      </c>
    </row>
    <row r="53" spans="1:2" x14ac:dyDescent="0.25">
      <c r="A53" s="5">
        <v>61</v>
      </c>
      <c r="B53" s="6">
        <v>4</v>
      </c>
    </row>
    <row r="54" spans="1:2" x14ac:dyDescent="0.25">
      <c r="A54" s="5">
        <v>62</v>
      </c>
      <c r="B54" s="6">
        <v>8</v>
      </c>
    </row>
    <row r="55" spans="1:2" x14ac:dyDescent="0.25">
      <c r="A55" s="5">
        <v>63</v>
      </c>
      <c r="B55" s="6">
        <v>7</v>
      </c>
    </row>
    <row r="56" spans="1:2" x14ac:dyDescent="0.25">
      <c r="A56" s="5">
        <v>64</v>
      </c>
      <c r="B56" s="6">
        <v>5</v>
      </c>
    </row>
    <row r="57" spans="1:2" x14ac:dyDescent="0.25">
      <c r="A57" s="5">
        <v>65</v>
      </c>
      <c r="B57" s="6">
        <v>7</v>
      </c>
    </row>
    <row r="58" spans="1:2" x14ac:dyDescent="0.25">
      <c r="A58" s="5" t="s">
        <v>681</v>
      </c>
      <c r="B58" s="6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831B0-F5E2-4927-BABD-5B18208FEE96}">
  <dimension ref="A1:CA100"/>
  <sheetViews>
    <sheetView tabSelected="1" topLeftCell="A19" zoomScale="50" zoomScaleNormal="50" workbookViewId="0">
      <selection activeCell="T64" sqref="T64"/>
    </sheetView>
  </sheetViews>
  <sheetFormatPr defaultRowHeight="15" x14ac:dyDescent="0.25"/>
  <cols>
    <col min="1" max="16384" width="9.140625" style="14"/>
  </cols>
  <sheetData>
    <row r="1" spans="1:76" ht="15" customHeight="1" x14ac:dyDescent="0.25">
      <c r="A1" s="38" t="s">
        <v>692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3" t="s">
        <v>27</v>
      </c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6" t="s">
        <v>691</v>
      </c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3" t="s">
        <v>42</v>
      </c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</row>
    <row r="2" spans="1:76" ht="15" customHeight="1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</row>
    <row r="3" spans="1:76" ht="15" customHeight="1" x14ac:dyDescent="0.2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</row>
    <row r="30" spans="14:55" x14ac:dyDescent="0.25">
      <c r="N30" s="33" t="s">
        <v>690</v>
      </c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6" t="s">
        <v>18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</row>
    <row r="31" spans="14:55" x14ac:dyDescent="0.25"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</row>
    <row r="32" spans="14:55" x14ac:dyDescent="0.25"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</row>
    <row r="100" spans="79:79" x14ac:dyDescent="0.25">
      <c r="CA100" s="14" t="s">
        <v>693</v>
      </c>
    </row>
  </sheetData>
  <mergeCells count="6">
    <mergeCell ref="N1:AH3"/>
    <mergeCell ref="N30:AH32"/>
    <mergeCell ref="AI1:BC3"/>
    <mergeCell ref="AI30:BC32"/>
    <mergeCell ref="BD1:BX3"/>
    <mergeCell ref="A1:M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Dati</vt:lpstr>
      <vt:lpstr>Dati sistemati</vt:lpstr>
      <vt:lpstr>Pivot e analisi</vt:lpstr>
      <vt:lpstr>Grafici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Kousha</cp:lastModifiedBy>
  <dcterms:created xsi:type="dcterms:W3CDTF">2026-06-18T08:52:49Z</dcterms:created>
  <dcterms:modified xsi:type="dcterms:W3CDTF">2026-06-18T11:38:56Z</dcterms:modified>
</cp:coreProperties>
</file>